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àfiques" sheetId="1" r:id="rId1"/>
    <sheet name="Resum per docent" sheetId="2" r:id="rId2"/>
    <sheet name="Absències" sheetId="3" r:id="rId3"/>
    <sheet name="Cobertures" sheetId="4" r:id="rId4"/>
    <sheet name="Oct 2025" sheetId="5" r:id="rId5"/>
    <sheet name="Nov 2025" sheetId="6" r:id="rId6"/>
    <sheet name="Des 2025" sheetId="7" r:id="rId7"/>
    <sheet name="Gen 2026" sheetId="8" r:id="rId8"/>
    <sheet name="Feb 2026" sheetId="9" r:id="rId9"/>
    <sheet name="Mar 2026" sheetId="10" r:id="rId10"/>
    <sheet name="Abr 2026" sheetId="11" r:id="rId11"/>
    <sheet name="Mai 2026" sheetId="12" r:id="rId12"/>
    <sheet name="Jun 2026" sheetId="13" r:id="rId13"/>
    <sheet name="Jul 2026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3" x14ac:knownFonts="1">
    <font>
      <sz val="11"/>
      <name val="Calibri"/>
    </font>
    <font>
      <sz val="11"/>
      <name val="Calibri"/>
    </font>
    <font>
      <sz val="16"/>
      <name val="Calibri"/>
      <b/>
      <color rgb="4A5568"/>
    </font>
    <font>
      <sz val="8"/>
      <name val="Calibri"/>
      <i/>
      <color rgb="AAAAAA"/>
    </font>
    <font>
      <sz val="9"/>
      <name val="Calibri"/>
      <color rgb="888888"/>
    </font>
    <font>
      <sz val="11"/>
      <name val="Calibri"/>
      <b/>
      <color rgb="FFFFFF"/>
    </font>
    <font>
      <sz val="9"/>
      <name val="Calibri"/>
      <b/>
      <color rgb="4A5568"/>
    </font>
    <font>
      <sz val="9"/>
      <name val="Calibri"/>
      <b/>
      <color rgb="4A5568"/>
    </font>
    <font>
      <sz val="10"/>
      <name val="Calibri"/>
    </font>
    <font>
      <sz val="12"/>
      <name val="Calibri"/>
      <b/>
      <color rgb="4A5568"/>
    </font>
    <font>
      <sz val="10"/>
      <name val="Calibri"/>
    </font>
    <font>
      <sz val="11"/>
      <name val="Calibri"/>
      <b/>
      <color rgb="FFFFFF"/>
    </font>
    <font>
      <sz val="9"/>
      <name val="Calibri"/>
      <b/>
      <color rgb="D97706"/>
    </font>
    <font>
      <sz val="9"/>
      <name val="Calibri"/>
      <b/>
      <color rgb="D97706"/>
    </font>
    <font>
      <sz val="12"/>
      <name val="Calibri"/>
      <b/>
      <color rgb="D97706"/>
    </font>
    <font>
      <sz val="11"/>
      <name val="Calibri"/>
      <b/>
      <color rgb="FFFFFF"/>
    </font>
    <font>
      <sz val="9"/>
      <name val="Calibri"/>
      <b/>
      <color rgb="DC2626"/>
    </font>
    <font>
      <sz val="9"/>
      <name val="Calibri"/>
      <b/>
      <color rgb="DC2626"/>
    </font>
    <font>
      <sz val="12"/>
      <name val="Calibri"/>
      <b/>
      <color rgb="DC2626"/>
    </font>
    <font>
      <sz val="11"/>
      <name val="Calibri"/>
      <b/>
      <color rgb="FFFFFF"/>
    </font>
    <font>
      <sz val="9"/>
      <name val="Calibri"/>
      <b/>
      <color rgb="16A34A"/>
    </font>
    <font>
      <sz val="9"/>
      <name val="Calibri"/>
      <b/>
      <color rgb="16A34A"/>
    </font>
    <font>
      <sz val="12"/>
      <name val="Calibri"/>
      <b/>
      <color rgb="16A34A"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  <b/>
      <color rgb="4A5568"/>
    </font>
    <font>
      <sz val="15"/>
      <name val="Calibri"/>
      <b/>
      <color rgb="4A5568"/>
    </font>
    <font>
      <sz val="11"/>
      <name val="Calibri"/>
      <b/>
      <color rgb="4A5568"/>
    </font>
    <font>
      <sz val="10"/>
      <name val="Calibri"/>
      <b/>
      <color rgb="4A5568"/>
    </font>
    <font>
      <sz val="10"/>
      <name val="Calibri"/>
      <b/>
      <color rgb="FFFFFF"/>
    </font>
    <font>
      <sz val="10"/>
      <name val="Calibri"/>
      <b/>
      <color rgb="059669"/>
    </font>
    <font>
      <sz val="10"/>
      <name val="Calibri"/>
      <b/>
      <color rgb="FFFFFF"/>
    </font>
  </fonts>
  <fills count="3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8FA"/>
        <bgColor/>
      </patternFill>
    </fill>
    <fill>
      <patternFill patternType="solid">
        <fgColor rgb="FFF7F8FA"/>
        <bgColor/>
      </patternFill>
    </fill>
    <fill>
      <patternFill patternType="solid">
        <fgColor rgb="FFF7F8FA"/>
        <bgColor/>
      </patternFill>
    </fill>
    <fill>
      <patternFill patternType="solid">
        <fgColor rgb="FFF7F8FA"/>
        <bgColor/>
      </patternFill>
    </fill>
    <fill>
      <patternFill patternType="solid">
        <fgColor rgb="FF4A5568"/>
        <bgColor/>
      </patternFill>
    </fill>
    <fill>
      <patternFill patternType="solid">
        <fgColor rgb="FFF5F5F5"/>
        <bgColor/>
      </patternFill>
    </fill>
    <fill>
      <patternFill patternType="solid">
        <fgColor rgb="FFF5F5F5"/>
        <bgColor/>
      </patternFill>
    </fill>
    <fill>
      <patternFill patternType="solid">
        <fgColor rgb="FFFFFFFF"/>
        <bgColor/>
      </patternFill>
    </fill>
    <fill>
      <patternFill patternType="solid">
        <fgColor rgb="FF4A5568"/>
        <bgColor/>
      </patternFill>
    </fill>
    <fill>
      <patternFill patternType="solid">
        <fgColor rgb="FFE5E5E5"/>
        <bgColor/>
      </patternFill>
    </fill>
    <fill>
      <patternFill patternType="solid">
        <fgColor rgb="FFFAFAFA"/>
        <bgColor/>
      </patternFill>
    </fill>
    <fill>
      <patternFill patternType="solid">
        <fgColor rgb="FFEFEFEF"/>
        <bgColor/>
      </patternFill>
    </fill>
    <fill>
      <patternFill patternType="solid">
        <fgColor rgb="FFD97706"/>
        <bgColor/>
      </patternFill>
    </fill>
    <fill>
      <patternFill patternType="solid">
        <fgColor rgb="FFF5F5F5"/>
        <bgColor/>
      </patternFill>
    </fill>
    <fill>
      <patternFill patternType="solid">
        <fgColor rgb="FFF5F5F5"/>
        <bgColor/>
      </patternFill>
    </fill>
    <fill>
      <patternFill patternType="solid">
        <fgColor rgb="FFD97706"/>
        <bgColor/>
      </patternFill>
    </fill>
    <fill>
      <patternFill patternType="solid">
        <fgColor rgb="FFDC2626"/>
        <bgColor/>
      </patternFill>
    </fill>
    <fill>
      <patternFill patternType="solid">
        <fgColor rgb="FFF5F5F5"/>
        <bgColor/>
      </patternFill>
    </fill>
    <fill>
      <patternFill patternType="solid">
        <fgColor rgb="FFF5F5F5"/>
        <bgColor/>
      </patternFill>
    </fill>
    <fill>
      <patternFill patternType="solid">
        <fgColor rgb="FFDC2626"/>
        <bgColor/>
      </patternFill>
    </fill>
    <fill>
      <patternFill patternType="solid">
        <fgColor rgb="FF16A34A"/>
        <bgColor/>
      </patternFill>
    </fill>
    <fill>
      <patternFill patternType="solid">
        <fgColor rgb="FFF5F5F5"/>
        <bgColor/>
      </patternFill>
    </fill>
    <fill>
      <patternFill patternType="solid">
        <fgColor rgb="FFF5F5F5"/>
        <bgColor/>
      </patternFill>
    </fill>
    <fill>
      <patternFill patternType="solid">
        <fgColor rgb="FF16A34A"/>
        <bgColor/>
      </patternFill>
    </fill>
    <fill>
      <patternFill patternType="solid">
        <fgColor rgb="FFFFFFFF"/>
        <bgColor/>
      </patternFill>
    </fill>
    <fill>
      <patternFill patternType="solid">
        <fgColor rgb="FF4A5568"/>
        <bgColor/>
      </patternFill>
    </fill>
    <fill>
      <patternFill patternType="solid">
        <fgColor rgb="FFFFFFFF"/>
        <bgColor/>
      </patternFill>
    </fill>
    <fill>
      <patternFill patternType="solid">
        <fgColor rgb="FFF4F7FB"/>
        <bgColor/>
      </patternFill>
    </fill>
    <fill>
      <patternFill patternType="solid">
        <fgColor rgb="FFF7F8FA"/>
        <bgColor/>
      </patternFill>
    </fill>
    <fill>
      <patternFill patternType="solid">
        <fgColor rgb="FFF7F8FA"/>
        <bgColor/>
      </patternFill>
    </fill>
    <fill>
      <patternFill patternType="solid">
        <fgColor rgb="FFF7F8FA"/>
        <bgColor/>
      </patternFill>
    </fill>
    <fill>
      <patternFill patternType="solid">
        <fgColor rgb="FF4A5568"/>
        <bgColor/>
      </patternFill>
    </fill>
    <fill>
      <patternFill patternType="solid">
        <fgColor rgb="FF059669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4A5568"/>
      </bottom>
      <diagonal/>
    </border>
    <border>
      <left/>
      <right/>
      <top/>
      <bottom style="medium">
        <color rgb="4A5568"/>
      </bottom>
      <diagonal/>
    </border>
    <border>
      <left/>
      <right/>
      <top/>
      <bottom style="medium">
        <color rgb="D97706"/>
      </bottom>
      <diagonal/>
    </border>
    <border>
      <left/>
      <right/>
      <top/>
      <bottom style="medium">
        <color rgb="D97706"/>
      </bottom>
      <diagonal/>
    </border>
    <border>
      <left/>
      <right/>
      <top/>
      <bottom style="medium">
        <color rgb="DC2626"/>
      </bottom>
      <diagonal/>
    </border>
    <border>
      <left/>
      <right/>
      <top/>
      <bottom style="medium">
        <color rgb="DC2626"/>
      </bottom>
      <diagonal/>
    </border>
    <border>
      <left/>
      <right/>
      <top/>
      <bottom style="medium">
        <color rgb="16A34A"/>
      </bottom>
      <diagonal/>
    </border>
    <border>
      <left/>
      <right/>
      <top/>
      <bottom style="medium">
        <color rgb="16A34A"/>
      </bottom>
      <diagonal/>
    </border>
    <border>
      <left/>
      <right/>
      <top style="medium">
        <color rgb="4A5568"/>
      </top>
      <bottom/>
      <diagonal/>
    </border>
  </borders>
  <cellStyleXfs>
    <xf numFmtId="0" fontId="0" fillId="0" borderId="0"/>
  </cellStyleXfs>
  <cellXfs count="4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0" fillId="3" borderId="0" xfId="0" applyFill="1"/>
    <xf numFmtId="0" fontId="3" fillId="4" borderId="0" xfId="0" applyFont="1" applyFill="1" applyAlignment="1">
      <alignment horizontal="right" vertical="center"/>
    </xf>
    <xf numFmtId="0" fontId="4" fillId="5" borderId="0" xfId="0" applyFont="1" applyFill="1"/>
    <xf numFmtId="0" fontId="5" fillId="6" borderId="0" xfId="0" applyFont="1" applyFill="1" applyAlignment="1">
      <alignment vertical="center"/>
    </xf>
    <xf numFmtId="0" fontId="6" fillId="7" borderId="2" xfId="0" applyFont="1" applyFill="1" applyBorder="1"/>
    <xf numFmtId="0" fontId="7" fillId="8" borderId="3" xfId="0" applyFont="1" applyFill="1" applyBorder="1" applyAlignment="1">
      <alignment horizontal="center"/>
    </xf>
    <xf numFmtId="0" fontId="8" fillId="9" borderId="0" xfId="0" applyFont="1" applyFill="1" applyAlignment="1">
      <alignment vertical="center"/>
    </xf>
    <xf numFmtId="0" fontId="0" fillId="10" borderId="0" xfId="0" applyFill="1"/>
    <xf numFmtId="0" fontId="0" fillId="11" borderId="0" xfId="0" applyFill="1"/>
    <xf numFmtId="0" fontId="9" fillId="0" borderId="0" xfId="0" applyFont="1" applyAlignment="1">
      <alignment horizontal="center" vertical="center"/>
    </xf>
    <xf numFmtId="0" fontId="10" fillId="12" borderId="0" xfId="0" applyFont="1" applyFill="1" applyAlignment="1">
      <alignment vertical="center"/>
    </xf>
    <xf numFmtId="0" fontId="0" fillId="13" borderId="0" xfId="0" applyFill="1"/>
    <xf numFmtId="0" fontId="11" fillId="14" borderId="0" xfId="0" applyFont="1" applyFill="1" applyAlignment="1">
      <alignment vertical="center"/>
    </xf>
    <xf numFmtId="0" fontId="12" fillId="15" borderId="4" xfId="0" applyFont="1" applyFill="1" applyBorder="1"/>
    <xf numFmtId="0" fontId="13" fillId="16" borderId="5" xfId="0" applyFont="1" applyFill="1" applyBorder="1" applyAlignment="1">
      <alignment horizontal="center"/>
    </xf>
    <xf numFmtId="0" fontId="0" fillId="17" borderId="0" xfId="0" applyFill="1"/>
    <xf numFmtId="0" fontId="14" fillId="0" borderId="0" xfId="0" applyFont="1" applyAlignment="1">
      <alignment horizontal="center" vertical="center"/>
    </xf>
    <xf numFmtId="0" fontId="15" fillId="18" borderId="0" xfId="0" applyFont="1" applyFill="1" applyAlignment="1">
      <alignment vertical="center"/>
    </xf>
    <xf numFmtId="0" fontId="16" fillId="19" borderId="6" xfId="0" applyFont="1" applyFill="1" applyBorder="1"/>
    <xf numFmtId="0" fontId="17" fillId="20" borderId="7" xfId="0" applyFont="1" applyFill="1" applyBorder="1" applyAlignment="1">
      <alignment horizontal="center"/>
    </xf>
    <xf numFmtId="0" fontId="0" fillId="21" borderId="0" xfId="0" applyFill="1"/>
    <xf numFmtId="0" fontId="18" fillId="0" borderId="0" xfId="0" applyFont="1" applyAlignment="1">
      <alignment horizontal="center" vertical="center"/>
    </xf>
    <xf numFmtId="0" fontId="19" fillId="22" borderId="0" xfId="0" applyFont="1" applyFill="1" applyAlignment="1">
      <alignment vertical="center"/>
    </xf>
    <xf numFmtId="0" fontId="20" fillId="23" borderId="8" xfId="0" applyFont="1" applyFill="1" applyBorder="1"/>
    <xf numFmtId="0" fontId="21" fillId="24" borderId="9" xfId="0" applyFont="1" applyFill="1" applyBorder="1" applyAlignment="1">
      <alignment horizontal="center"/>
    </xf>
    <xf numFmtId="0" fontId="0" fillId="25" borderId="0" xfId="0" applyFill="1"/>
    <xf numFmtId="0" fontId="22" fillId="0" borderId="0" xfId="0" applyFont="1" applyAlignment="1">
      <alignment horizontal="center" vertical="center"/>
    </xf>
    <xf numFmtId="0" fontId="0" fillId="26" borderId="0" xfId="0" applyFill="1"/>
    <xf numFmtId="0" fontId="23" fillId="27" borderId="0" xfId="0" applyFont="1" applyFill="1" applyAlignment="1">
      <alignment horizontal="center" vertical="center" wrapText="true"/>
    </xf>
    <xf numFmtId="0" fontId="24" fillId="28" borderId="0" xfId="0" applyFont="1" applyFill="1"/>
    <xf numFmtId="0" fontId="25" fillId="29" borderId="0" xfId="0" applyFont="1" applyFill="1"/>
    <xf numFmtId="0" fontId="26" fillId="30" borderId="10" xfId="0" applyFont="1" applyFill="1" applyBorder="1"/>
    <xf numFmtId="0" fontId="27" fillId="31" borderId="0" xfId="0" applyFont="1" applyFill="1" applyAlignment="1">
      <alignment vertical="center"/>
    </xf>
    <xf numFmtId="0" fontId="28" fillId="32" borderId="0" xfId="0" applyFont="1" applyFill="1"/>
    <xf numFmtId="0" fontId="29" fillId="0" borderId="0" xfId="0" applyFont="1"/>
    <xf numFmtId="0" fontId="30" fillId="33" borderId="0" xfId="0" applyFont="1" applyFill="1" applyAlignment="1">
      <alignment horizontal="center"/>
    </xf>
    <xf numFmtId="0" fontId="31" fillId="0" borderId="0" xfId="0" applyFont="1"/>
    <xf numFmtId="0" fontId="32" fillId="34" borderId="0" xfId="0" applyFont="1" applyFill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cols>
    <col min="1" max="1" width="26.83203125" customWidth="1"/>
    <col min="2" max="2" width="3.43359375" customWidth="1"/>
    <col min="3" max="3" width="3.43359375" customWidth="1"/>
    <col min="4" max="4" width="3.43359375" customWidth="1"/>
    <col min="5" max="5" width="3.43359375" customWidth="1"/>
    <col min="6" max="6" width="3.43359375" customWidth="1"/>
    <col min="7" max="7" width="3.43359375" customWidth="1"/>
    <col min="8" max="8" width="3.43359375" customWidth="1"/>
    <col min="9" max="9" width="3.43359375" customWidth="1"/>
    <col min="10" max="10" width="3.43359375" customWidth="1"/>
    <col min="11" max="11" width="3.43359375" customWidth="1"/>
    <col min="12" max="12" width="3.43359375" customWidth="1"/>
    <col min="13" max="13" width="3.43359375" customWidth="1"/>
    <col min="14" max="14" width="3.43359375" customWidth="1"/>
    <col min="15" max="15" width="3.43359375" customWidth="1"/>
    <col min="16" max="16" width="3.43359375" customWidth="1"/>
    <col min="17" max="17" width="9.83203125" customWidth="1"/>
  </cols>
  <sheetData>
    <row r="1" ht="44" customHeight="1">
      <c r="A1" s="3" t="str">
        <v>Escola Demo - HorariaPro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5" t="str">
        <v>Generat per HorariaPro</v>
      </c>
    </row>
    <row r="2" ht="20" customHeight="1">
      <c r="A2" s="6" t="str">
        <v>Curs 2025–2026 · Estadístiques · 05/08/2026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  <c r="L2" s="6" t="str">
        <v/>
      </c>
      <c r="M2" s="6" t="str">
        <v/>
      </c>
      <c r="N2" s="6" t="str">
        <v/>
      </c>
      <c r="O2" s="6" t="str">
        <v/>
      </c>
      <c r="P2" s="6" t="str">
        <v/>
      </c>
      <c r="Q2" s="6" t="str">
        <v/>
      </c>
    </row>
    <row r="3" ht="10" customHeight="1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</row>
    <row r="4" ht="28" customHeight="1">
      <c r="A4" s="7" t="str">
        <v>TENDÈNCIA MENSUAL D'ABSÈNCIES</v>
      </c>
      <c r="B4" s="7" t="str">
        <v/>
      </c>
      <c r="C4" s="7" t="str">
        <v/>
      </c>
      <c r="D4" s="7" t="str">
        <v/>
      </c>
      <c r="E4" s="7" t="str">
        <v/>
      </c>
      <c r="F4" s="7" t="str">
        <v/>
      </c>
      <c r="G4" s="7" t="str">
        <v/>
      </c>
      <c r="H4" s="7" t="str">
        <v/>
      </c>
      <c r="I4" s="7" t="str">
        <v/>
      </c>
      <c r="J4" s="7" t="str">
        <v/>
      </c>
      <c r="K4" s="7" t="str">
        <v/>
      </c>
      <c r="L4" s="7" t="str">
        <v/>
      </c>
      <c r="M4" s="7" t="str">
        <v/>
      </c>
      <c r="N4" s="7" t="str">
        <v/>
      </c>
      <c r="O4" s="7" t="str">
        <v/>
      </c>
      <c r="P4" s="7" t="str">
        <v/>
      </c>
      <c r="Q4" s="7" t="str">
        <v/>
      </c>
    </row>
    <row r="5" ht="22" customHeight="1">
      <c r="A5" s="8" t="str">
        <v>Mes</v>
      </c>
      <c r="B5" s="8" t="str">
        <v/>
      </c>
      <c r="C5" s="8" t="str">
        <v/>
      </c>
      <c r="D5" s="8" t="str">
        <v/>
      </c>
      <c r="E5" s="8" t="str">
        <v/>
      </c>
      <c r="F5" s="8" t="str">
        <v/>
      </c>
      <c r="G5" s="8" t="str">
        <v/>
      </c>
      <c r="H5" s="8" t="str">
        <v/>
      </c>
      <c r="I5" s="8" t="str">
        <v/>
      </c>
      <c r="J5" s="8" t="str">
        <v/>
      </c>
      <c r="K5" s="8" t="str">
        <v/>
      </c>
      <c r="L5" s="8" t="str">
        <v/>
      </c>
      <c r="M5" s="8" t="str">
        <v/>
      </c>
      <c r="N5" s="8" t="str">
        <v/>
      </c>
      <c r="O5" s="8" t="str">
        <v/>
      </c>
      <c r="P5" s="8" t="str">
        <v/>
      </c>
      <c r="Q5" s="9" t="str">
        <v>Total</v>
      </c>
    </row>
    <row r="6" ht="22" customHeight="1">
      <c r="A6" s="10" t="str">
        <v>Oct 2025</v>
      </c>
      <c r="B6" s="11" t="str">
        <v/>
      </c>
      <c r="C6" s="11" t="str">
        <v/>
      </c>
      <c r="D6" s="11" t="str">
        <v/>
      </c>
      <c r="E6" s="11" t="str">
        <v/>
      </c>
      <c r="F6" s="11" t="str">
        <v/>
      </c>
      <c r="G6" s="11" t="str">
        <v/>
      </c>
      <c r="H6" s="11" t="str">
        <v/>
      </c>
      <c r="I6" s="11" t="str">
        <v/>
      </c>
      <c r="J6" s="11" t="str">
        <v/>
      </c>
      <c r="K6" s="11" t="str">
        <v/>
      </c>
      <c r="L6" s="11" t="str">
        <v/>
      </c>
      <c r="M6" s="11" t="str">
        <v/>
      </c>
      <c r="N6" s="11" t="str">
        <v/>
      </c>
      <c r="O6" s="12" t="str">
        <v/>
      </c>
      <c r="P6" s="12" t="str">
        <v/>
      </c>
      <c r="Q6" s="13">
        <v>5</v>
      </c>
    </row>
    <row r="7" ht="22" customHeight="1">
      <c r="A7" s="14" t="str">
        <v>Nov 2025</v>
      </c>
      <c r="B7" s="11" t="str">
        <v/>
      </c>
      <c r="C7" s="11" t="str">
        <v/>
      </c>
      <c r="D7" s="11" t="str">
        <v/>
      </c>
      <c r="E7" s="11" t="str">
        <v/>
      </c>
      <c r="F7" s="11" t="str">
        <v/>
      </c>
      <c r="G7" s="11" t="str">
        <v/>
      </c>
      <c r="H7" s="11" t="str">
        <v/>
      </c>
      <c r="I7" s="11" t="str">
        <v/>
      </c>
      <c r="J7" s="11" t="str">
        <v/>
      </c>
      <c r="K7" s="11" t="str">
        <v/>
      </c>
      <c r="L7" s="15" t="str">
        <v/>
      </c>
      <c r="M7" s="15" t="str">
        <v/>
      </c>
      <c r="N7" s="15" t="str">
        <v/>
      </c>
      <c r="O7" s="15" t="str">
        <v/>
      </c>
      <c r="P7" s="15" t="str">
        <v/>
      </c>
      <c r="Q7" s="13">
        <v>4</v>
      </c>
    </row>
    <row r="8" ht="22" customHeight="1">
      <c r="A8" s="10" t="str">
        <v>Des 2025</v>
      </c>
      <c r="B8" s="11" t="str">
        <v/>
      </c>
      <c r="C8" s="11" t="str">
        <v/>
      </c>
      <c r="D8" s="11" t="str">
        <v/>
      </c>
      <c r="E8" s="11" t="str">
        <v/>
      </c>
      <c r="F8" s="11" t="str">
        <v/>
      </c>
      <c r="G8" s="11" t="str">
        <v/>
      </c>
      <c r="H8" s="11" t="str">
        <v/>
      </c>
      <c r="I8" s="11" t="str">
        <v/>
      </c>
      <c r="J8" s="12" t="str">
        <v/>
      </c>
      <c r="K8" s="12" t="str">
        <v/>
      </c>
      <c r="L8" s="12" t="str">
        <v/>
      </c>
      <c r="M8" s="12" t="str">
        <v/>
      </c>
      <c r="N8" s="12" t="str">
        <v/>
      </c>
      <c r="O8" s="12" t="str">
        <v/>
      </c>
      <c r="P8" s="12" t="str">
        <v/>
      </c>
      <c r="Q8" s="13">
        <v>3</v>
      </c>
    </row>
    <row r="9" ht="22" customHeight="1">
      <c r="A9" s="14" t="str">
        <v>Gen 2026</v>
      </c>
      <c r="B9" s="11" t="str">
        <v/>
      </c>
      <c r="C9" s="11" t="str">
        <v/>
      </c>
      <c r="D9" s="11" t="str">
        <v/>
      </c>
      <c r="E9" s="11" t="str">
        <v/>
      </c>
      <c r="F9" s="11" t="str">
        <v/>
      </c>
      <c r="G9" s="11" t="str">
        <v/>
      </c>
      <c r="H9" s="11" t="str">
        <v/>
      </c>
      <c r="I9" s="11" t="str">
        <v/>
      </c>
      <c r="J9" s="11" t="str">
        <v/>
      </c>
      <c r="K9" s="11" t="str">
        <v/>
      </c>
      <c r="L9" s="15" t="str">
        <v/>
      </c>
      <c r="M9" s="15" t="str">
        <v/>
      </c>
      <c r="N9" s="15" t="str">
        <v/>
      </c>
      <c r="O9" s="15" t="str">
        <v/>
      </c>
      <c r="P9" s="15" t="str">
        <v/>
      </c>
      <c r="Q9" s="13">
        <v>4</v>
      </c>
    </row>
    <row r="10" ht="22" customHeight="1">
      <c r="A10" s="10" t="str">
        <v>Feb 2026</v>
      </c>
      <c r="B10" s="11" t="str">
        <v/>
      </c>
      <c r="C10" s="11" t="str">
        <v/>
      </c>
      <c r="D10" s="11" t="str">
        <v/>
      </c>
      <c r="E10" s="11" t="str">
        <v/>
      </c>
      <c r="F10" s="11" t="str">
        <v/>
      </c>
      <c r="G10" s="11" t="str">
        <v/>
      </c>
      <c r="H10" s="11" t="str">
        <v/>
      </c>
      <c r="I10" s="11" t="str">
        <v/>
      </c>
      <c r="J10" s="11" t="str">
        <v/>
      </c>
      <c r="K10" s="11" t="str">
        <v/>
      </c>
      <c r="L10" s="12" t="str">
        <v/>
      </c>
      <c r="M10" s="12" t="str">
        <v/>
      </c>
      <c r="N10" s="12" t="str">
        <v/>
      </c>
      <c r="O10" s="12" t="str">
        <v/>
      </c>
      <c r="P10" s="12" t="str">
        <v/>
      </c>
      <c r="Q10" s="13">
        <v>4</v>
      </c>
    </row>
    <row r="11" ht="22" customHeight="1">
      <c r="A11" s="14" t="str">
        <v>Mar 2026</v>
      </c>
      <c r="B11" s="11" t="str">
        <v/>
      </c>
      <c r="C11" s="11" t="str">
        <v/>
      </c>
      <c r="D11" s="11" t="str">
        <v/>
      </c>
      <c r="E11" s="11" t="str">
        <v/>
      </c>
      <c r="F11" s="11" t="str">
        <v/>
      </c>
      <c r="G11" s="11" t="str">
        <v/>
      </c>
      <c r="H11" s="11" t="str">
        <v/>
      </c>
      <c r="I11" s="11" t="str">
        <v/>
      </c>
      <c r="J11" s="11" t="str">
        <v/>
      </c>
      <c r="K11" s="11" t="str">
        <v/>
      </c>
      <c r="L11" s="11" t="str">
        <v/>
      </c>
      <c r="M11" s="11" t="str">
        <v/>
      </c>
      <c r="N11" s="11" t="str">
        <v/>
      </c>
      <c r="O11" s="15" t="str">
        <v/>
      </c>
      <c r="P11" s="15" t="str">
        <v/>
      </c>
      <c r="Q11" s="13">
        <v>5</v>
      </c>
    </row>
    <row r="12" ht="22" customHeight="1">
      <c r="A12" s="10" t="str">
        <v>Abr 2026</v>
      </c>
      <c r="B12" s="11" t="str">
        <v/>
      </c>
      <c r="C12" s="11" t="str">
        <v/>
      </c>
      <c r="D12" s="11" t="str">
        <v/>
      </c>
      <c r="E12" s="11" t="str">
        <v/>
      </c>
      <c r="F12" s="11" t="str">
        <v/>
      </c>
      <c r="G12" s="11" t="str">
        <v/>
      </c>
      <c r="H12" s="11" t="str">
        <v/>
      </c>
      <c r="I12" s="11" t="str">
        <v/>
      </c>
      <c r="J12" s="11" t="str">
        <v/>
      </c>
      <c r="K12" s="11" t="str">
        <v/>
      </c>
      <c r="L12" s="12" t="str">
        <v/>
      </c>
      <c r="M12" s="12" t="str">
        <v/>
      </c>
      <c r="N12" s="12" t="str">
        <v/>
      </c>
      <c r="O12" s="12" t="str">
        <v/>
      </c>
      <c r="P12" s="12" t="str">
        <v/>
      </c>
      <c r="Q12" s="13">
        <v>4</v>
      </c>
    </row>
    <row r="13" ht="22" customHeight="1">
      <c r="A13" s="14" t="str">
        <v>Mai 2026</v>
      </c>
      <c r="B13" s="11" t="str">
        <v/>
      </c>
      <c r="C13" s="11" t="str">
        <v/>
      </c>
      <c r="D13" s="11" t="str">
        <v/>
      </c>
      <c r="E13" s="11" t="str">
        <v/>
      </c>
      <c r="F13" s="11" t="str">
        <v/>
      </c>
      <c r="G13" s="11" t="str">
        <v/>
      </c>
      <c r="H13" s="11" t="str">
        <v/>
      </c>
      <c r="I13" s="11" t="str">
        <v/>
      </c>
      <c r="J13" s="11" t="str">
        <v/>
      </c>
      <c r="K13" s="11" t="str">
        <v/>
      </c>
      <c r="L13" s="11" t="str">
        <v/>
      </c>
      <c r="M13" s="11" t="str">
        <v/>
      </c>
      <c r="N13" s="11" t="str">
        <v/>
      </c>
      <c r="O13" s="11" t="str">
        <v/>
      </c>
      <c r="P13" s="11" t="str">
        <v/>
      </c>
      <c r="Q13" s="13">
        <v>6</v>
      </c>
    </row>
    <row r="14" ht="22" customHeight="1">
      <c r="A14" s="10" t="str">
        <v>Jun 2026</v>
      </c>
      <c r="B14" s="11" t="str">
        <v/>
      </c>
      <c r="C14" s="11" t="str">
        <v/>
      </c>
      <c r="D14" s="11" t="str">
        <v/>
      </c>
      <c r="E14" s="11" t="str">
        <v/>
      </c>
      <c r="F14" s="11" t="str">
        <v/>
      </c>
      <c r="G14" s="11" t="str">
        <v/>
      </c>
      <c r="H14" s="11" t="str">
        <v/>
      </c>
      <c r="I14" s="11" t="str">
        <v/>
      </c>
      <c r="J14" s="11" t="str">
        <v/>
      </c>
      <c r="K14" s="11" t="str">
        <v/>
      </c>
      <c r="L14" s="11" t="str">
        <v/>
      </c>
      <c r="M14" s="11" t="str">
        <v/>
      </c>
      <c r="N14" s="11" t="str">
        <v/>
      </c>
      <c r="O14" s="11" t="str">
        <v/>
      </c>
      <c r="P14" s="11" t="str">
        <v/>
      </c>
      <c r="Q14" s="13">
        <v>6</v>
      </c>
    </row>
    <row r="15" ht="22" customHeight="1">
      <c r="A15" s="14" t="str">
        <v>Jul 2026</v>
      </c>
      <c r="B15" s="11" t="str">
        <v/>
      </c>
      <c r="C15" s="11" t="str">
        <v/>
      </c>
      <c r="D15" s="11" t="str">
        <v/>
      </c>
      <c r="E15" s="15" t="str">
        <v/>
      </c>
      <c r="F15" s="15" t="str">
        <v/>
      </c>
      <c r="G15" s="15" t="str">
        <v/>
      </c>
      <c r="H15" s="15" t="str">
        <v/>
      </c>
      <c r="I15" s="15" t="str">
        <v/>
      </c>
      <c r="J15" s="15" t="str">
        <v/>
      </c>
      <c r="K15" s="15" t="str">
        <v/>
      </c>
      <c r="L15" s="15" t="str">
        <v/>
      </c>
      <c r="M15" s="15" t="str">
        <v/>
      </c>
      <c r="N15" s="15" t="str">
        <v/>
      </c>
      <c r="O15" s="15" t="str">
        <v/>
      </c>
      <c r="P15" s="15" t="str">
        <v/>
      </c>
      <c r="Q15" s="13">
        <v>1</v>
      </c>
    </row>
    <row r="16" ht="8" customHeight="1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s="2" t="str">
        <v/>
      </c>
      <c r="N16" s="2" t="str">
        <v/>
      </c>
      <c r="O16" s="2" t="str">
        <v/>
      </c>
      <c r="P16" s="2" t="str">
        <v/>
      </c>
      <c r="Q16" s="2" t="str">
        <v/>
      </c>
    </row>
    <row r="17" ht="28" customHeight="1">
      <c r="A17" s="16" t="str">
        <v>DISTRIBUCIÓ PER CATEGORIA</v>
      </c>
      <c r="B17" s="16" t="str">
        <v/>
      </c>
      <c r="C17" s="16" t="str">
        <v/>
      </c>
      <c r="D17" s="16" t="str">
        <v/>
      </c>
      <c r="E17" s="16" t="str">
        <v/>
      </c>
      <c r="F17" s="16" t="str">
        <v/>
      </c>
      <c r="G17" s="16" t="str">
        <v/>
      </c>
      <c r="H17" s="16" t="str">
        <v/>
      </c>
      <c r="I17" s="16" t="str">
        <v/>
      </c>
      <c r="J17" s="16" t="str">
        <v/>
      </c>
      <c r="K17" s="16" t="str">
        <v/>
      </c>
      <c r="L17" s="16" t="str">
        <v/>
      </c>
      <c r="M17" s="16" t="str">
        <v/>
      </c>
      <c r="N17" s="16" t="str">
        <v/>
      </c>
      <c r="O17" s="16" t="str">
        <v/>
      </c>
      <c r="P17" s="16" t="str">
        <v/>
      </c>
      <c r="Q17" s="16" t="str">
        <v/>
      </c>
    </row>
    <row r="18" ht="22" customHeight="1">
      <c r="A18" s="17" t="str">
        <v>Categoria</v>
      </c>
      <c r="B18" s="17" t="str">
        <v/>
      </c>
      <c r="C18" s="17" t="str">
        <v/>
      </c>
      <c r="D18" s="17" t="str">
        <v/>
      </c>
      <c r="E18" s="17" t="str">
        <v/>
      </c>
      <c r="F18" s="17" t="str">
        <v/>
      </c>
      <c r="G18" s="17" t="str">
        <v/>
      </c>
      <c r="H18" s="17" t="str">
        <v/>
      </c>
      <c r="I18" s="17" t="str">
        <v/>
      </c>
      <c r="J18" s="17" t="str">
        <v/>
      </c>
      <c r="K18" s="17" t="str">
        <v/>
      </c>
      <c r="L18" s="17" t="str">
        <v/>
      </c>
      <c r="M18" s="17" t="str">
        <v/>
      </c>
      <c r="N18" s="17" t="str">
        <v/>
      </c>
      <c r="O18" s="17" t="str">
        <v/>
      </c>
      <c r="P18" s="17" t="str">
        <v/>
      </c>
      <c r="Q18" s="18" t="str">
        <v>Total</v>
      </c>
    </row>
    <row r="19" ht="22" customHeight="1">
      <c r="A19" s="14" t="str">
        <v>Salut</v>
      </c>
      <c r="B19" s="19" t="str">
        <v/>
      </c>
      <c r="C19" s="19" t="str">
        <v/>
      </c>
      <c r="D19" s="19" t="str">
        <v/>
      </c>
      <c r="E19" s="19" t="str">
        <v/>
      </c>
      <c r="F19" s="19" t="str">
        <v/>
      </c>
      <c r="G19" s="19" t="str">
        <v/>
      </c>
      <c r="H19" s="19" t="str">
        <v/>
      </c>
      <c r="I19" s="19" t="str">
        <v/>
      </c>
      <c r="J19" s="19" t="str">
        <v/>
      </c>
      <c r="K19" s="19" t="str">
        <v/>
      </c>
      <c r="L19" s="19" t="str">
        <v/>
      </c>
      <c r="M19" s="19" t="str">
        <v/>
      </c>
      <c r="N19" s="19" t="str">
        <v/>
      </c>
      <c r="O19" s="19" t="str">
        <v/>
      </c>
      <c r="P19" s="19" t="str">
        <v/>
      </c>
      <c r="Q19" s="20">
        <v>26</v>
      </c>
    </row>
    <row r="20" ht="22" customHeight="1">
      <c r="A20" s="10" t="str">
        <v>Altres</v>
      </c>
      <c r="B20" s="19" t="str">
        <v/>
      </c>
      <c r="C20" s="19" t="str">
        <v/>
      </c>
      <c r="D20" s="19" t="str">
        <v/>
      </c>
      <c r="E20" s="19" t="str">
        <v/>
      </c>
      <c r="F20" s="19" t="str">
        <v/>
      </c>
      <c r="G20" s="19" t="str">
        <v/>
      </c>
      <c r="H20" s="19" t="str">
        <v/>
      </c>
      <c r="I20" s="19" t="str">
        <v/>
      </c>
      <c r="J20" s="19" t="str">
        <v/>
      </c>
      <c r="K20" s="12" t="str">
        <v/>
      </c>
      <c r="L20" s="12" t="str">
        <v/>
      </c>
      <c r="M20" s="12" t="str">
        <v/>
      </c>
      <c r="N20" s="12" t="str">
        <v/>
      </c>
      <c r="O20" s="12" t="str">
        <v/>
      </c>
      <c r="P20" s="12" t="str">
        <v/>
      </c>
      <c r="Q20" s="20">
        <v>16</v>
      </c>
    </row>
    <row r="21" ht="8" customHeight="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2" t="str">
        <v/>
      </c>
      <c r="J21" s="2" t="str">
        <v/>
      </c>
      <c r="K21" s="2" t="str">
        <v/>
      </c>
      <c r="L21" s="2" t="str">
        <v/>
      </c>
      <c r="M21" s="2" t="str">
        <v/>
      </c>
      <c r="N21" s="2" t="str">
        <v/>
      </c>
      <c r="O21" s="2" t="str">
        <v/>
      </c>
      <c r="P21" s="2" t="str">
        <v/>
      </c>
      <c r="Q21" s="2" t="str">
        <v/>
      </c>
    </row>
    <row r="22" ht="28" customHeight="1">
      <c r="A22" s="21" t="str">
        <v>TOP DOCENTS — ABSÈNCIES</v>
      </c>
      <c r="B22" s="21" t="str">
        <v/>
      </c>
      <c r="C22" s="21" t="str">
        <v/>
      </c>
      <c r="D22" s="21" t="str">
        <v/>
      </c>
      <c r="E22" s="21" t="str">
        <v/>
      </c>
      <c r="F22" s="21" t="str">
        <v/>
      </c>
      <c r="G22" s="21" t="str">
        <v/>
      </c>
      <c r="H22" s="21" t="str">
        <v/>
      </c>
      <c r="I22" s="21" t="str">
        <v/>
      </c>
      <c r="J22" s="21" t="str">
        <v/>
      </c>
      <c r="K22" s="21" t="str">
        <v/>
      </c>
      <c r="L22" s="21" t="str">
        <v/>
      </c>
      <c r="M22" s="21" t="str">
        <v/>
      </c>
      <c r="N22" s="21" t="str">
        <v/>
      </c>
      <c r="O22" s="21" t="str">
        <v/>
      </c>
      <c r="P22" s="21" t="str">
        <v/>
      </c>
      <c r="Q22" s="21" t="str">
        <v/>
      </c>
    </row>
    <row r="23" ht="22" customHeight="1">
      <c r="A23" s="22" t="str">
        <v>Docent</v>
      </c>
      <c r="B23" s="22" t="str">
        <v/>
      </c>
      <c r="C23" s="22" t="str">
        <v/>
      </c>
      <c r="D23" s="22" t="str">
        <v/>
      </c>
      <c r="E23" s="22" t="str">
        <v/>
      </c>
      <c r="F23" s="22" t="str">
        <v/>
      </c>
      <c r="G23" s="22" t="str">
        <v/>
      </c>
      <c r="H23" s="22" t="str">
        <v/>
      </c>
      <c r="I23" s="22" t="str">
        <v/>
      </c>
      <c r="J23" s="22" t="str">
        <v/>
      </c>
      <c r="K23" s="22" t="str">
        <v/>
      </c>
      <c r="L23" s="22" t="str">
        <v/>
      </c>
      <c r="M23" s="22" t="str">
        <v/>
      </c>
      <c r="N23" s="22" t="str">
        <v/>
      </c>
      <c r="O23" s="22" t="str">
        <v/>
      </c>
      <c r="P23" s="22" t="str">
        <v/>
      </c>
      <c r="Q23" s="23" t="str">
        <v>Total</v>
      </c>
    </row>
    <row r="24" ht="22" customHeight="1">
      <c r="A24" s="10" t="str">
        <v>Anna Puig</v>
      </c>
      <c r="B24" s="24" t="str">
        <v/>
      </c>
      <c r="C24" s="24" t="str">
        <v/>
      </c>
      <c r="D24" s="24" t="str">
        <v/>
      </c>
      <c r="E24" s="24" t="str">
        <v/>
      </c>
      <c r="F24" s="24" t="str">
        <v/>
      </c>
      <c r="G24" s="24" t="str">
        <v/>
      </c>
      <c r="H24" s="24" t="str">
        <v/>
      </c>
      <c r="I24" s="24" t="str">
        <v/>
      </c>
      <c r="J24" s="24" t="str">
        <v/>
      </c>
      <c r="K24" s="24" t="str">
        <v/>
      </c>
      <c r="L24" s="24" t="str">
        <v/>
      </c>
      <c r="M24" s="24" t="str">
        <v/>
      </c>
      <c r="N24" s="24" t="str">
        <v/>
      </c>
      <c r="O24" s="24" t="str">
        <v/>
      </c>
      <c r="P24" s="24" t="str">
        <v/>
      </c>
      <c r="Q24" s="25">
        <v>6</v>
      </c>
    </row>
    <row r="25" ht="22" customHeight="1">
      <c r="A25" s="14" t="str">
        <v>Jordi Bosch</v>
      </c>
      <c r="B25" s="24" t="str">
        <v/>
      </c>
      <c r="C25" s="24" t="str">
        <v/>
      </c>
      <c r="D25" s="24" t="str">
        <v/>
      </c>
      <c r="E25" s="24" t="str">
        <v/>
      </c>
      <c r="F25" s="24" t="str">
        <v/>
      </c>
      <c r="G25" s="24" t="str">
        <v/>
      </c>
      <c r="H25" s="24" t="str">
        <v/>
      </c>
      <c r="I25" s="24" t="str">
        <v/>
      </c>
      <c r="J25" s="24" t="str">
        <v/>
      </c>
      <c r="K25" s="24" t="str">
        <v/>
      </c>
      <c r="L25" s="15" t="str">
        <v/>
      </c>
      <c r="M25" s="15" t="str">
        <v/>
      </c>
      <c r="N25" s="15" t="str">
        <v/>
      </c>
      <c r="O25" s="15" t="str">
        <v/>
      </c>
      <c r="P25" s="15" t="str">
        <v/>
      </c>
      <c r="Q25" s="25">
        <v>4</v>
      </c>
    </row>
    <row r="26" ht="22" customHeight="1">
      <c r="A26" s="10" t="str">
        <v>Pau Esteve</v>
      </c>
      <c r="B26" s="24" t="str">
        <v/>
      </c>
      <c r="C26" s="24" t="str">
        <v/>
      </c>
      <c r="D26" s="24" t="str">
        <v/>
      </c>
      <c r="E26" s="24" t="str">
        <v/>
      </c>
      <c r="F26" s="24" t="str">
        <v/>
      </c>
      <c r="G26" s="24" t="str">
        <v/>
      </c>
      <c r="H26" s="24" t="str">
        <v/>
      </c>
      <c r="I26" s="24" t="str">
        <v/>
      </c>
      <c r="J26" s="12" t="str">
        <v/>
      </c>
      <c r="K26" s="12" t="str">
        <v/>
      </c>
      <c r="L26" s="12" t="str">
        <v/>
      </c>
      <c r="M26" s="12" t="str">
        <v/>
      </c>
      <c r="N26" s="12" t="str">
        <v/>
      </c>
      <c r="O26" s="12" t="str">
        <v/>
      </c>
      <c r="P26" s="12" t="str">
        <v/>
      </c>
      <c r="Q26" s="25">
        <v>3</v>
      </c>
    </row>
    <row r="27" ht="22" customHeight="1">
      <c r="A27" s="14" t="str">
        <v>Sara Prat</v>
      </c>
      <c r="B27" s="24" t="str">
        <v/>
      </c>
      <c r="C27" s="24" t="str">
        <v/>
      </c>
      <c r="D27" s="24" t="str">
        <v/>
      </c>
      <c r="E27" s="24" t="str">
        <v/>
      </c>
      <c r="F27" s="24" t="str">
        <v/>
      </c>
      <c r="G27" s="24" t="str">
        <v/>
      </c>
      <c r="H27" s="24" t="str">
        <v/>
      </c>
      <c r="I27" s="24" t="str">
        <v/>
      </c>
      <c r="J27" s="15" t="str">
        <v/>
      </c>
      <c r="K27" s="15" t="str">
        <v/>
      </c>
      <c r="L27" s="15" t="str">
        <v/>
      </c>
      <c r="M27" s="15" t="str">
        <v/>
      </c>
      <c r="N27" s="15" t="str">
        <v/>
      </c>
      <c r="O27" s="15" t="str">
        <v/>
      </c>
      <c r="P27" s="15" t="str">
        <v/>
      </c>
      <c r="Q27" s="25">
        <v>3</v>
      </c>
    </row>
    <row r="28" ht="22" customHeight="1">
      <c r="A28" s="10" t="str">
        <v>Pere Mas</v>
      </c>
      <c r="B28" s="24" t="str">
        <v/>
      </c>
      <c r="C28" s="24" t="str">
        <v/>
      </c>
      <c r="D28" s="24" t="str">
        <v/>
      </c>
      <c r="E28" s="24" t="str">
        <v/>
      </c>
      <c r="F28" s="24" t="str">
        <v/>
      </c>
      <c r="G28" s="24" t="str">
        <v/>
      </c>
      <c r="H28" s="24" t="str">
        <v/>
      </c>
      <c r="I28" s="24" t="str">
        <v/>
      </c>
      <c r="J28" s="12" t="str">
        <v/>
      </c>
      <c r="K28" s="12" t="str">
        <v/>
      </c>
      <c r="L28" s="12" t="str">
        <v/>
      </c>
      <c r="M28" s="12" t="str">
        <v/>
      </c>
      <c r="N28" s="12" t="str">
        <v/>
      </c>
      <c r="O28" s="12" t="str">
        <v/>
      </c>
      <c r="P28" s="12" t="str">
        <v/>
      </c>
      <c r="Q28" s="25">
        <v>3</v>
      </c>
    </row>
    <row r="29" ht="22" customHeight="1">
      <c r="A29" s="14" t="str">
        <v>Marc Vidal</v>
      </c>
      <c r="B29" s="24" t="str">
        <v/>
      </c>
      <c r="C29" s="24" t="str">
        <v/>
      </c>
      <c r="D29" s="24" t="str">
        <v/>
      </c>
      <c r="E29" s="24" t="str">
        <v/>
      </c>
      <c r="F29" s="24" t="str">
        <v/>
      </c>
      <c r="G29" s="24" t="str">
        <v/>
      </c>
      <c r="H29" s="24" t="str">
        <v/>
      </c>
      <c r="I29" s="24" t="str">
        <v/>
      </c>
      <c r="J29" s="15" t="str">
        <v/>
      </c>
      <c r="K29" s="15" t="str">
        <v/>
      </c>
      <c r="L29" s="15" t="str">
        <v/>
      </c>
      <c r="M29" s="15" t="str">
        <v/>
      </c>
      <c r="N29" s="15" t="str">
        <v/>
      </c>
      <c r="O29" s="15" t="str">
        <v/>
      </c>
      <c r="P29" s="15" t="str">
        <v/>
      </c>
      <c r="Q29" s="25">
        <v>3</v>
      </c>
    </row>
    <row r="30" ht="22" customHeight="1">
      <c r="A30" s="10" t="str">
        <v>Laia Ros</v>
      </c>
      <c r="B30" s="24" t="str">
        <v/>
      </c>
      <c r="C30" s="24" t="str">
        <v/>
      </c>
      <c r="D30" s="24" t="str">
        <v/>
      </c>
      <c r="E30" s="24" t="str">
        <v/>
      </c>
      <c r="F30" s="24" t="str">
        <v/>
      </c>
      <c r="G30" s="24" t="str">
        <v/>
      </c>
      <c r="H30" s="24" t="str">
        <v/>
      </c>
      <c r="I30" s="24" t="str">
        <v/>
      </c>
      <c r="J30" s="12" t="str">
        <v/>
      </c>
      <c r="K30" s="12" t="str">
        <v/>
      </c>
      <c r="L30" s="12" t="str">
        <v/>
      </c>
      <c r="M30" s="12" t="str">
        <v/>
      </c>
      <c r="N30" s="12" t="str">
        <v/>
      </c>
      <c r="O30" s="12" t="str">
        <v/>
      </c>
      <c r="P30" s="12" t="str">
        <v/>
      </c>
      <c r="Q30" s="25">
        <v>3</v>
      </c>
    </row>
    <row r="31" ht="22" customHeight="1">
      <c r="A31" s="14" t="str">
        <v>Elisabet Roca</v>
      </c>
      <c r="B31" s="24" t="str">
        <v/>
      </c>
      <c r="C31" s="24" t="str">
        <v/>
      </c>
      <c r="D31" s="24" t="str">
        <v/>
      </c>
      <c r="E31" s="24" t="str">
        <v/>
      </c>
      <c r="F31" s="24" t="str">
        <v/>
      </c>
      <c r="G31" s="15" t="str">
        <v/>
      </c>
      <c r="H31" s="15" t="str">
        <v/>
      </c>
      <c r="I31" s="15" t="str">
        <v/>
      </c>
      <c r="J31" s="15" t="str">
        <v/>
      </c>
      <c r="K31" s="15" t="str">
        <v/>
      </c>
      <c r="L31" s="15" t="str">
        <v/>
      </c>
      <c r="M31" s="15" t="str">
        <v/>
      </c>
      <c r="N31" s="15" t="str">
        <v/>
      </c>
      <c r="O31" s="15" t="str">
        <v/>
      </c>
      <c r="P31" s="15" t="str">
        <v/>
      </c>
      <c r="Q31" s="25">
        <v>2</v>
      </c>
    </row>
    <row r="32" ht="8" customHeight="1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  <c r="I32" s="2" t="str">
        <v/>
      </c>
      <c r="J32" s="2" t="str">
        <v/>
      </c>
      <c r="K32" s="2" t="str">
        <v/>
      </c>
      <c r="L32" s="2" t="str">
        <v/>
      </c>
      <c r="M32" s="2" t="str">
        <v/>
      </c>
      <c r="N32" s="2" t="str">
        <v/>
      </c>
      <c r="O32" s="2" t="str">
        <v/>
      </c>
      <c r="P32" s="2" t="str">
        <v/>
      </c>
      <c r="Q32" s="2" t="str">
        <v/>
      </c>
    </row>
    <row r="33" ht="28" customHeight="1">
      <c r="A33" s="26" t="str">
        <v>TOP COBRIDORS</v>
      </c>
      <c r="B33" s="26" t="str">
        <v/>
      </c>
      <c r="C33" s="26" t="str">
        <v/>
      </c>
      <c r="D33" s="26" t="str">
        <v/>
      </c>
      <c r="E33" s="26" t="str">
        <v/>
      </c>
      <c r="F33" s="26" t="str">
        <v/>
      </c>
      <c r="G33" s="26" t="str">
        <v/>
      </c>
      <c r="H33" s="26" t="str">
        <v/>
      </c>
      <c r="I33" s="26" t="str">
        <v/>
      </c>
      <c r="J33" s="26" t="str">
        <v/>
      </c>
      <c r="K33" s="26" t="str">
        <v/>
      </c>
      <c r="L33" s="26" t="str">
        <v/>
      </c>
      <c r="M33" s="26" t="str">
        <v/>
      </c>
      <c r="N33" s="26" t="str">
        <v/>
      </c>
      <c r="O33" s="26" t="str">
        <v/>
      </c>
      <c r="P33" s="26" t="str">
        <v/>
      </c>
      <c r="Q33" s="26" t="str">
        <v/>
      </c>
    </row>
    <row r="34" ht="22" customHeight="1">
      <c r="A34" s="27" t="str">
        <v>Docent cobrint</v>
      </c>
      <c r="B34" s="27" t="str">
        <v/>
      </c>
      <c r="C34" s="27" t="str">
        <v/>
      </c>
      <c r="D34" s="27" t="str">
        <v/>
      </c>
      <c r="E34" s="27" t="str">
        <v/>
      </c>
      <c r="F34" s="27" t="str">
        <v/>
      </c>
      <c r="G34" s="27" t="str">
        <v/>
      </c>
      <c r="H34" s="27" t="str">
        <v/>
      </c>
      <c r="I34" s="27" t="str">
        <v/>
      </c>
      <c r="J34" s="27" t="str">
        <v/>
      </c>
      <c r="K34" s="27" t="str">
        <v/>
      </c>
      <c r="L34" s="27" t="str">
        <v/>
      </c>
      <c r="M34" s="27" t="str">
        <v/>
      </c>
      <c r="N34" s="27" t="str">
        <v/>
      </c>
      <c r="O34" s="27" t="str">
        <v/>
      </c>
      <c r="P34" s="27" t="str">
        <v/>
      </c>
      <c r="Q34" s="28" t="str">
        <v>Total</v>
      </c>
    </row>
    <row r="35" ht="22" customHeight="1">
      <c r="A35" s="14" t="str">
        <v>Nuria Camps</v>
      </c>
      <c r="B35" s="29" t="str">
        <v/>
      </c>
      <c r="C35" s="29" t="str">
        <v/>
      </c>
      <c r="D35" s="29" t="str">
        <v/>
      </c>
      <c r="E35" s="29" t="str">
        <v/>
      </c>
      <c r="F35" s="29" t="str">
        <v/>
      </c>
      <c r="G35" s="29" t="str">
        <v/>
      </c>
      <c r="H35" s="29" t="str">
        <v/>
      </c>
      <c r="I35" s="29" t="str">
        <v/>
      </c>
      <c r="J35" s="29" t="str">
        <v/>
      </c>
      <c r="K35" s="29" t="str">
        <v/>
      </c>
      <c r="L35" s="29" t="str">
        <v/>
      </c>
      <c r="M35" s="29" t="str">
        <v/>
      </c>
      <c r="N35" s="29" t="str">
        <v/>
      </c>
      <c r="O35" s="29" t="str">
        <v/>
      </c>
      <c r="P35" s="29" t="str">
        <v/>
      </c>
      <c r="Q35" s="30">
        <v>17</v>
      </c>
    </row>
    <row r="36" ht="22" customHeight="1">
      <c r="A36" s="10" t="str">
        <v>Gemma Tort</v>
      </c>
      <c r="B36" s="29" t="str">
        <v/>
      </c>
      <c r="C36" s="29" t="str">
        <v/>
      </c>
      <c r="D36" s="29" t="str">
        <v/>
      </c>
      <c r="E36" s="29" t="str">
        <v/>
      </c>
      <c r="F36" s="29" t="str">
        <v/>
      </c>
      <c r="G36" s="29" t="str">
        <v/>
      </c>
      <c r="H36" s="29" t="str">
        <v/>
      </c>
      <c r="I36" s="29" t="str">
        <v/>
      </c>
      <c r="J36" s="29" t="str">
        <v/>
      </c>
      <c r="K36" s="29" t="str">
        <v/>
      </c>
      <c r="L36" s="29" t="str">
        <v/>
      </c>
      <c r="M36" s="12" t="str">
        <v/>
      </c>
      <c r="N36" s="12" t="str">
        <v/>
      </c>
      <c r="O36" s="12" t="str">
        <v/>
      </c>
      <c r="P36" s="12" t="str">
        <v/>
      </c>
      <c r="Q36" s="30">
        <v>12</v>
      </c>
    </row>
    <row r="37" ht="22" customHeight="1">
      <c r="A37" s="14" t="str">
        <v>Arnau Sala</v>
      </c>
      <c r="B37" s="29" t="str">
        <v/>
      </c>
      <c r="C37" s="29" t="str">
        <v/>
      </c>
      <c r="D37" s="29" t="str">
        <v/>
      </c>
      <c r="E37" s="29" t="str">
        <v/>
      </c>
      <c r="F37" s="29" t="str">
        <v/>
      </c>
      <c r="G37" s="29" t="str">
        <v/>
      </c>
      <c r="H37" s="29" t="str">
        <v/>
      </c>
      <c r="I37" s="29" t="str">
        <v/>
      </c>
      <c r="J37" s="29" t="str">
        <v/>
      </c>
      <c r="K37" s="29" t="str">
        <v/>
      </c>
      <c r="L37" s="29" t="str">
        <v/>
      </c>
      <c r="M37" s="15" t="str">
        <v/>
      </c>
      <c r="N37" s="15" t="str">
        <v/>
      </c>
      <c r="O37" s="15" t="str">
        <v/>
      </c>
      <c r="P37" s="15" t="str">
        <v/>
      </c>
      <c r="Q37" s="30">
        <v>12</v>
      </c>
    </row>
    <row r="38" ht="22" customHeight="1">
      <c r="A38" s="10" t="str">
        <v>Marc Vidal</v>
      </c>
      <c r="B38" s="29" t="str">
        <v/>
      </c>
      <c r="C38" s="29" t="str">
        <v/>
      </c>
      <c r="D38" s="29" t="str">
        <v/>
      </c>
      <c r="E38" s="29" t="str">
        <v/>
      </c>
      <c r="F38" s="29" t="str">
        <v/>
      </c>
      <c r="G38" s="29" t="str">
        <v/>
      </c>
      <c r="H38" s="29" t="str">
        <v/>
      </c>
      <c r="I38" s="29" t="str">
        <v/>
      </c>
      <c r="J38" s="12" t="str">
        <v/>
      </c>
      <c r="K38" s="12" t="str">
        <v/>
      </c>
      <c r="L38" s="12" t="str">
        <v/>
      </c>
      <c r="M38" s="12" t="str">
        <v/>
      </c>
      <c r="N38" s="12" t="str">
        <v/>
      </c>
      <c r="O38" s="12" t="str">
        <v/>
      </c>
      <c r="P38" s="12" t="str">
        <v/>
      </c>
      <c r="Q38" s="30">
        <v>9</v>
      </c>
    </row>
    <row r="39" ht="22" customHeight="1">
      <c r="A39" s="14" t="str">
        <v>Carla Font</v>
      </c>
      <c r="B39" s="29" t="str">
        <v/>
      </c>
      <c r="C39" s="29" t="str">
        <v/>
      </c>
      <c r="D39" s="29" t="str">
        <v/>
      </c>
      <c r="E39" s="29" t="str">
        <v/>
      </c>
      <c r="F39" s="29" t="str">
        <v/>
      </c>
      <c r="G39" s="29" t="str">
        <v/>
      </c>
      <c r="H39" s="15" t="str">
        <v/>
      </c>
      <c r="I39" s="15" t="str">
        <v/>
      </c>
      <c r="J39" s="15" t="str">
        <v/>
      </c>
      <c r="K39" s="15" t="str">
        <v/>
      </c>
      <c r="L39" s="15" t="str">
        <v/>
      </c>
      <c r="M39" s="15" t="str">
        <v/>
      </c>
      <c r="N39" s="15" t="str">
        <v/>
      </c>
      <c r="O39" s="15" t="str">
        <v/>
      </c>
      <c r="P39" s="15" t="str">
        <v/>
      </c>
      <c r="Q39" s="30">
        <v>7</v>
      </c>
    </row>
    <row r="40" ht="22" customHeight="1">
      <c r="A40" s="10" t="str">
        <v>Marta Ferrer</v>
      </c>
      <c r="B40" s="29" t="str">
        <v/>
      </c>
      <c r="C40" s="29" t="str">
        <v/>
      </c>
      <c r="D40" s="29" t="str">
        <v/>
      </c>
      <c r="E40" s="29" t="str">
        <v/>
      </c>
      <c r="F40" s="29" t="str">
        <v/>
      </c>
      <c r="G40" s="12" t="str">
        <v/>
      </c>
      <c r="H40" s="12" t="str">
        <v/>
      </c>
      <c r="I40" s="12" t="str">
        <v/>
      </c>
      <c r="J40" s="12" t="str">
        <v/>
      </c>
      <c r="K40" s="12" t="str">
        <v/>
      </c>
      <c r="L40" s="12" t="str">
        <v/>
      </c>
      <c r="M40" s="12" t="str">
        <v/>
      </c>
      <c r="N40" s="12" t="str">
        <v/>
      </c>
      <c r="O40" s="12" t="str">
        <v/>
      </c>
      <c r="P40" s="12" t="str">
        <v/>
      </c>
      <c r="Q40" s="30">
        <v>6</v>
      </c>
    </row>
    <row r="41" ht="22" customHeight="1">
      <c r="A41" s="14" t="str">
        <v>Roger Vila</v>
      </c>
      <c r="B41" s="29" t="str">
        <v/>
      </c>
      <c r="C41" s="29" t="str">
        <v/>
      </c>
      <c r="D41" s="29" t="str">
        <v/>
      </c>
      <c r="E41" s="29" t="str">
        <v/>
      </c>
      <c r="F41" s="29" t="str">
        <v/>
      </c>
      <c r="G41" s="15" t="str">
        <v/>
      </c>
      <c r="H41" s="15" t="str">
        <v/>
      </c>
      <c r="I41" s="15" t="str">
        <v/>
      </c>
      <c r="J41" s="15" t="str">
        <v/>
      </c>
      <c r="K41" s="15" t="str">
        <v/>
      </c>
      <c r="L41" s="15" t="str">
        <v/>
      </c>
      <c r="M41" s="15" t="str">
        <v/>
      </c>
      <c r="N41" s="15" t="str">
        <v/>
      </c>
      <c r="O41" s="15" t="str">
        <v/>
      </c>
      <c r="P41" s="15" t="str">
        <v/>
      </c>
      <c r="Q41" s="30">
        <v>6</v>
      </c>
    </row>
    <row r="42" ht="22" customHeight="1">
      <c r="A42" s="10" t="str">
        <v>Laia Ros</v>
      </c>
      <c r="B42" s="29" t="str">
        <v/>
      </c>
      <c r="C42" s="29" t="str">
        <v/>
      </c>
      <c r="D42" s="29" t="str">
        <v/>
      </c>
      <c r="E42" s="29" t="str">
        <v/>
      </c>
      <c r="F42" s="12" t="str">
        <v/>
      </c>
      <c r="G42" s="12" t="str">
        <v/>
      </c>
      <c r="H42" s="12" t="str">
        <v/>
      </c>
      <c r="I42" s="12" t="str">
        <v/>
      </c>
      <c r="J42" s="12" t="str">
        <v/>
      </c>
      <c r="K42" s="12" t="str">
        <v/>
      </c>
      <c r="L42" s="12" t="str">
        <v/>
      </c>
      <c r="M42" s="12" t="str">
        <v/>
      </c>
      <c r="N42" s="12" t="str">
        <v/>
      </c>
      <c r="O42" s="12" t="str">
        <v/>
      </c>
      <c r="P42" s="12" t="str">
        <v/>
      </c>
      <c r="Q42" s="30">
        <v>5</v>
      </c>
    </row>
  </sheetData>
  <mergeCells count="6">
    <mergeCell ref="A1:P1"/>
    <mergeCell ref="A2:Q2"/>
    <mergeCell ref="A4:Q4"/>
    <mergeCell ref="A17:Q17"/>
    <mergeCell ref="A22:Q22"/>
    <mergeCell ref="A33:Q33"/>
  </mergeCells>
  <ignoredErrors>
    <ignoredError numberStoredAsText="1" sqref="A1:Q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cols>
    <col min="1" max="1" width="28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0.83203125" customWidth="1"/>
    <col min="12" max="12" width="14.83203125" customWidth="1"/>
  </cols>
  <sheetData>
    <row r="1" ht="44" customHeight="1">
      <c r="A1" s="3" t="str">
        <v>Escola Demo - HorariaPro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5" t="str">
        <v>Generat per HorariaPro</v>
      </c>
    </row>
    <row r="2" ht="22" customHeight="1">
      <c r="A2" s="6" t="str">
        <v>Curs 2025–2026 · Historial d'absències · 05/08/2026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  <c r="L2" s="6" t="str">
        <v/>
      </c>
    </row>
    <row r="3" ht="8" customHeight="1">
      <c r="A3" s="31" t="str">
        <v/>
      </c>
      <c r="B3" s="31" t="str">
        <v/>
      </c>
      <c r="C3" s="31" t="str">
        <v/>
      </c>
      <c r="D3" s="31" t="str">
        <v/>
      </c>
      <c r="E3" s="31" t="str">
        <v/>
      </c>
      <c r="F3" s="31" t="str">
        <v/>
      </c>
      <c r="G3" s="31" t="str">
        <v/>
      </c>
      <c r="H3" s="31" t="str">
        <v/>
      </c>
      <c r="I3" s="31" t="str">
        <v/>
      </c>
      <c r="J3" s="31" t="str">
        <v/>
      </c>
      <c r="K3" s="31" t="str">
        <v/>
      </c>
      <c r="L3" s="31" t="str">
        <v/>
      </c>
    </row>
    <row r="4" ht="28" customHeight="1">
      <c r="A4" s="32" t="str">
        <v>Docent</v>
      </c>
      <c r="B4" s="32" t="str">
        <v>Rol</v>
      </c>
      <c r="C4" s="32" t="str">
        <v>Salut</v>
      </c>
      <c r="D4" s="32" t="str">
        <v>ATRI Família</v>
      </c>
      <c r="E4" s="32" t="str">
        <v>ATRI Personal</v>
      </c>
      <c r="F4" s="32" t="str">
        <v>Reducció jornada</v>
      </c>
      <c r="G4" s="32" t="str">
        <v>Flexibilització</v>
      </c>
      <c r="H4" s="32" t="str">
        <v>Acompanyar</v>
      </c>
      <c r="I4" s="32" t="str">
        <v>Sortides</v>
      </c>
      <c r="J4" s="32" t="str">
        <v>Altres</v>
      </c>
      <c r="K4" s="32" t="str">
        <v>TOTAL</v>
      </c>
      <c r="L4" s="32" t="str">
        <v>Cobertures gen.</v>
      </c>
    </row>
    <row r="5" ht="18" customHeight="1">
      <c r="A5" s="33" t="str">
        <v>Anna Puig</v>
      </c>
      <c r="B5" s="33" t="str">
        <v>tutor</v>
      </c>
      <c r="C5" s="33">
        <v>4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2</v>
      </c>
      <c r="K5" s="33">
        <v>6</v>
      </c>
      <c r="L5" s="33">
        <v>15</v>
      </c>
    </row>
    <row r="6" ht="18" customHeight="1">
      <c r="A6" s="34" t="str">
        <v>Jordi Bosch</v>
      </c>
      <c r="B6" s="34" t="str">
        <v>tutor</v>
      </c>
      <c r="C6" s="34">
        <v>2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2</v>
      </c>
      <c r="K6" s="34">
        <v>4</v>
      </c>
      <c r="L6" s="34">
        <v>10</v>
      </c>
    </row>
    <row r="7" ht="18" customHeight="1">
      <c r="A7" s="33" t="str">
        <v>Pau Esteve</v>
      </c>
      <c r="B7" s="33" t="str">
        <v>especialista</v>
      </c>
      <c r="C7" s="33">
        <v>3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3</v>
      </c>
      <c r="L7" s="33">
        <v>8</v>
      </c>
    </row>
    <row r="8" ht="18" customHeight="1">
      <c r="A8" s="34" t="str">
        <v>Sara Prat</v>
      </c>
      <c r="B8" s="34" t="str">
        <v>tutor</v>
      </c>
      <c r="C8" s="34">
        <v>3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3</v>
      </c>
      <c r="L8" s="34">
        <v>5</v>
      </c>
    </row>
    <row r="9" ht="18" customHeight="1">
      <c r="A9" s="33" t="str">
        <v>Pere Mas</v>
      </c>
      <c r="B9" s="33" t="str">
        <v>tutor</v>
      </c>
      <c r="C9" s="33">
        <v>2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1</v>
      </c>
      <c r="K9" s="33">
        <v>3</v>
      </c>
      <c r="L9" s="33">
        <v>3</v>
      </c>
    </row>
    <row r="10" ht="18" customHeight="1">
      <c r="A10" s="34" t="str">
        <v>Marc Vidal</v>
      </c>
      <c r="B10" s="34" t="str">
        <v>tutor</v>
      </c>
      <c r="C10" s="34">
        <v>1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2</v>
      </c>
      <c r="K10" s="34">
        <v>3</v>
      </c>
      <c r="L10" s="34">
        <v>12</v>
      </c>
    </row>
    <row r="11" ht="18" customHeight="1">
      <c r="A11" s="33" t="str">
        <v>Laia Ros</v>
      </c>
      <c r="B11" s="33" t="str">
        <v>tutor</v>
      </c>
      <c r="C11" s="33">
        <v>3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3</v>
      </c>
      <c r="L11" s="33">
        <v>8</v>
      </c>
    </row>
    <row r="12" ht="18" customHeight="1">
      <c r="A12" s="34" t="str">
        <v>Elisabet Roca</v>
      </c>
      <c r="B12" s="34" t="str">
        <v>tutor</v>
      </c>
      <c r="C12" s="34">
        <v>1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1</v>
      </c>
      <c r="K12" s="34">
        <v>2</v>
      </c>
      <c r="L12" s="34">
        <v>2</v>
      </c>
    </row>
    <row r="13" ht="18" customHeight="1">
      <c r="A13" s="33" t="str">
        <v>Clara Vives</v>
      </c>
      <c r="B13" s="33" t="str">
        <v>teacher</v>
      </c>
      <c r="C13" s="33">
        <v>1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1</v>
      </c>
      <c r="K13" s="33">
        <v>2</v>
      </c>
      <c r="L13" s="33">
        <v>5</v>
      </c>
    </row>
    <row r="14" ht="18" customHeight="1">
      <c r="A14" s="34" t="str">
        <v>Arnau Sala</v>
      </c>
      <c r="B14" s="34" t="str">
        <v>tutor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2</v>
      </c>
      <c r="K14" s="34">
        <v>2</v>
      </c>
      <c r="L14" s="34">
        <v>4</v>
      </c>
    </row>
    <row r="15" ht="18" customHeight="1">
      <c r="A15" s="33" t="str">
        <v>Gemma Tort</v>
      </c>
      <c r="B15" s="33" t="str">
        <v>especialista</v>
      </c>
      <c r="C15" s="33">
        <v>2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2</v>
      </c>
      <c r="L15" s="33">
        <v>5</v>
      </c>
    </row>
    <row r="16" ht="18" customHeight="1">
      <c r="A16" s="34" t="str">
        <v>David Coma</v>
      </c>
      <c r="B16" s="34" t="str">
        <v>tutor</v>
      </c>
      <c r="C16" s="34">
        <v>2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2</v>
      </c>
      <c r="L16" s="34">
        <v>6</v>
      </c>
    </row>
    <row r="17" ht="18" customHeight="1">
      <c r="A17" s="33" t="str">
        <v>Toni Jove</v>
      </c>
      <c r="B17" s="33" t="str">
        <v>tutor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2</v>
      </c>
      <c r="K17" s="33">
        <v>2</v>
      </c>
      <c r="L17" s="33">
        <v>2</v>
      </c>
    </row>
    <row r="18" ht="18" customHeight="1">
      <c r="A18" s="34" t="str">
        <v>Aurora Pons</v>
      </c>
      <c r="B18" s="34" t="str">
        <v>teacher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1</v>
      </c>
      <c r="K18" s="34">
        <v>1</v>
      </c>
      <c r="L18" s="34">
        <v>2</v>
      </c>
    </row>
    <row r="19" ht="18" customHeight="1">
      <c r="A19" s="33" t="str">
        <v>Marta Ferrer</v>
      </c>
      <c r="B19" s="33" t="str">
        <v>tutor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1</v>
      </c>
      <c r="K19" s="33">
        <v>1</v>
      </c>
      <c r="L19" s="33">
        <v>3</v>
      </c>
    </row>
    <row r="20" ht="18" customHeight="1">
      <c r="A20" s="34" t="str">
        <v>Nuria Camps</v>
      </c>
      <c r="B20" s="34" t="str">
        <v>especialista</v>
      </c>
      <c r="C20" s="34">
        <v>1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1</v>
      </c>
      <c r="L20" s="34">
        <v>2</v>
      </c>
    </row>
    <row r="21" ht="18" customHeight="1">
      <c r="A21" s="33" t="str">
        <v>Roger Vila</v>
      </c>
      <c r="B21" s="33" t="str">
        <v>tutor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1</v>
      </c>
      <c r="K21" s="33">
        <v>1</v>
      </c>
      <c r="L21" s="33">
        <v>3</v>
      </c>
    </row>
    <row r="22" ht="18" customHeight="1">
      <c r="A22" s="34" t="str">
        <v>Carla Font</v>
      </c>
      <c r="B22" s="34" t="str">
        <v>tutor</v>
      </c>
      <c r="C22" s="34">
        <v>1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1</v>
      </c>
      <c r="L22" s="34">
        <v>5</v>
      </c>
    </row>
    <row r="23" ht="18" customHeight="1">
      <c r="A23" s="35" t="str">
        <v>TOTAL</v>
      </c>
      <c r="B23" s="35" t="str">
        <v/>
      </c>
      <c r="C23" s="35">
        <v>26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16</v>
      </c>
      <c r="K23" s="35">
        <v>42</v>
      </c>
      <c r="L23" s="35">
        <v>100</v>
      </c>
    </row>
  </sheetData>
  <mergeCells count="2">
    <mergeCell ref="A1:K1"/>
    <mergeCell ref="A2:L2"/>
  </mergeCells>
  <ignoredErrors>
    <ignoredError numberStoredAsText="1" sqref="A1:L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cols>
    <col min="1" max="1" width="40.83203125" customWidth="1"/>
    <col min="2" max="2" width="11.83203125" customWidth="1"/>
    <col min="3" max="3" width="15.83203125" customWidth="1"/>
    <col min="4" max="4" width="39.83203125" customWidth="1"/>
    <col min="5" max="5" width="40.83203125" customWidth="1"/>
    <col min="6" max="6" width="10.83203125" customWidth="1"/>
    <col min="7" max="7" width="26.83203125" customWidth="1"/>
    <col min="8" max="8" width="24.83203125" customWidth="1"/>
  </cols>
  <sheetData>
    <row r="1" ht="44" customHeight="1">
      <c r="A1" s="3" t="str">
        <v>Escola Demo - HorariaPro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5" t="str">
        <v>Generat per HorariaPro</v>
      </c>
    </row>
    <row r="2" ht="22" customHeight="1">
      <c r="A2" s="6" t="str">
        <v>Curs 2025–2026 · Absències · 05/08/2026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8" customHeight="1">
      <c r="A3" s="31" t="str">
        <v/>
      </c>
      <c r="B3" s="31" t="str">
        <v/>
      </c>
      <c r="C3" s="31" t="str">
        <v/>
      </c>
      <c r="D3" s="31" t="str">
        <v/>
      </c>
      <c r="E3" s="31" t="str">
        <v/>
      </c>
      <c r="F3" s="31" t="str">
        <v/>
      </c>
      <c r="G3" s="31" t="str">
        <v/>
      </c>
      <c r="H3" s="31" t="str">
        <v/>
      </c>
    </row>
    <row r="4" ht="28" customHeight="1">
      <c r="A4" s="32" t="str">
        <v>Data</v>
      </c>
      <c r="B4" s="32" t="str">
        <v>Dia</v>
      </c>
      <c r="C4" s="32" t="str">
        <v>Docent</v>
      </c>
      <c r="D4" s="32" t="str">
        <v>Motiu</v>
      </c>
      <c r="E4" s="32" t="str">
        <v>Franges</v>
      </c>
      <c r="F4" s="32" t="str">
        <v>Estat</v>
      </c>
      <c r="G4" s="32" t="str">
        <v>Cobert per</v>
      </c>
      <c r="H4" s="32" t="str">
        <v>Núm. cob.</v>
      </c>
    </row>
    <row r="5" ht="18" customHeight="1">
      <c r="A5" s="33" t="str">
        <v>2026-07-31</v>
      </c>
      <c r="B5" s="33" t="str">
        <v>Divendres</v>
      </c>
      <c r="C5" s="33" t="str">
        <v>Anna Puig</v>
      </c>
      <c r="D5" s="33" t="str">
        <v>Malaltia</v>
      </c>
      <c r="E5" s="33" t="str">
        <v>f1a, f1b, f2a</v>
      </c>
      <c r="F5" s="33" t="str">
        <v>Arxivat</v>
      </c>
      <c r="G5" s="33" t="str">
        <v>Laia Ros; Gemma Tort</v>
      </c>
      <c r="H5" s="33">
        <v>3</v>
      </c>
    </row>
    <row r="6" ht="18" customHeight="1">
      <c r="A6" s="34" t="str">
        <v>2026-06-24</v>
      </c>
      <c r="B6" s="34" t="str">
        <v>Dimecres</v>
      </c>
      <c r="C6" s="34" t="str">
        <v>Elisabet Roca</v>
      </c>
      <c r="D6" s="34" t="str">
        <v>Malaltia</v>
      </c>
      <c r="E6" s="34" t="str">
        <f>f1b</f>
        <v>f1a</v>
      </c>
      <c r="F6" s="34" t="str">
        <v>Arxivat</v>
      </c>
      <c r="G6" s="34" t="str">
        <v/>
      </c>
      <c r="H6" s="34">
        <v>0</v>
      </c>
    </row>
    <row r="7" ht="18" customHeight="1">
      <c r="A7" s="33" t="str">
        <v>2026-06-24</v>
      </c>
      <c r="B7" s="33" t="str">
        <v>Dimecres</v>
      </c>
      <c r="C7" s="33" t="str">
        <v>Pau Esteve</v>
      </c>
      <c r="D7" s="33" t="str">
        <v>Visita mèdica / Especialista</v>
      </c>
      <c r="E7" s="33" t="str">
        <f>f5b</f>
        <v>f5a</v>
      </c>
      <c r="F7" s="33" t="str">
        <v>Arxivat</v>
      </c>
      <c r="G7" s="33" t="str">
        <v/>
      </c>
      <c r="H7" s="33">
        <v>0</v>
      </c>
    </row>
    <row r="8" ht="18" customHeight="1">
      <c r="A8" s="34" t="str">
        <v>2026-06-24</v>
      </c>
      <c r="B8" s="34" t="str">
        <v>Dimecres</v>
      </c>
      <c r="C8" s="34" t="str">
        <v>Jordi Bosch</v>
      </c>
      <c r="D8" s="34" t="str">
        <v>Malaltia</v>
      </c>
      <c r="E8" s="34" t="str">
        <f>f1b</f>
        <v>f1a</v>
      </c>
      <c r="F8" s="34" t="str">
        <v>Arxivat</v>
      </c>
      <c r="G8" s="34" t="str">
        <v>Leyre Martin</v>
      </c>
      <c r="H8" s="34">
        <v>3</v>
      </c>
    </row>
    <row r="9" ht="18" customHeight="1">
      <c r="A9" s="33" t="str">
        <v>2026-06-24</v>
      </c>
      <c r="B9" s="33" t="str">
        <v>Dimecres</v>
      </c>
      <c r="C9" s="33" t="str">
        <v>Sara Prat</v>
      </c>
      <c r="D9" s="33" t="str">
        <v>Visita mèdica / Especialista</v>
      </c>
      <c r="E9" s="33" t="str">
        <f>f3b</f>
        <v>f3a</v>
      </c>
      <c r="F9" s="33" t="str">
        <v>Arxivat</v>
      </c>
      <c r="G9" s="33" t="str">
        <v>Isa Roca</v>
      </c>
      <c r="H9" s="33">
        <v>2</v>
      </c>
    </row>
    <row r="10" ht="18" customHeight="1">
      <c r="A10" s="34" t="str">
        <v>2026-06-19</v>
      </c>
      <c r="B10" s="34" t="str">
        <v>Divendres</v>
      </c>
      <c r="C10" s="34" t="str">
        <v>Anna Puig</v>
      </c>
      <c r="D10" s="34" t="str">
        <v>Test Horaria — verificació UI resolts</v>
      </c>
      <c r="E10" s="34" t="str">
        <v>f1a, f1b</v>
      </c>
      <c r="F10" s="34" t="str">
        <v>Arxivat</v>
      </c>
      <c r="G10" s="34" t="str">
        <v/>
      </c>
      <c r="H10" s="34">
        <v>0</v>
      </c>
    </row>
    <row r="11" ht="18" customHeight="1">
      <c r="A11" s="33" t="str">
        <v>2026-06-19</v>
      </c>
      <c r="B11" s="33" t="str">
        <v>Divendres</v>
      </c>
      <c r="C11" s="33" t="str">
        <v>Anna Puig</v>
      </c>
      <c r="D11" s="33" t="str">
        <v>Test Horaria — verificació UI resolts</v>
      </c>
      <c r="E11" s="33" t="str">
        <v>f1a, f1b</v>
      </c>
      <c r="F11" s="33" t="str">
        <v>Arxivat</v>
      </c>
      <c r="G11" s="33" t="str">
        <v/>
      </c>
      <c r="H11" s="33">
        <v>0</v>
      </c>
    </row>
    <row r="12" ht="18" customHeight="1">
      <c r="A12" s="34" t="str">
        <v>2026-05-22</v>
      </c>
      <c r="B12" s="34" t="str">
        <v>Divendres</v>
      </c>
      <c r="C12" s="34" t="str">
        <v>Clara Vives</v>
      </c>
      <c r="D12" s="34" t="str">
        <v>Visita medica</v>
      </c>
      <c r="E12" s="34" t="str">
        <f>f1b</f>
        <v>f1a</v>
      </c>
      <c r="F12" s="34" t="str">
        <v>Arxivat</v>
      </c>
      <c r="G12" s="34" t="str">
        <v>Nuria Camps</v>
      </c>
      <c r="H12" s="34">
        <v>2</v>
      </c>
    </row>
    <row r="13" ht="18" customHeight="1">
      <c r="A13" s="33" t="str">
        <v>2026-05-21</v>
      </c>
      <c r="B13" s="33" t="str">
        <v>Dijous</v>
      </c>
      <c r="C13" s="33" t="str">
        <v>Pere Mas</v>
      </c>
      <c r="D13" s="33" t="str">
        <v>Malaltia</v>
      </c>
      <c r="E13" s="33" t="str">
        <f>f1b</f>
        <v>f1a</v>
      </c>
      <c r="F13" s="33" t="str">
        <v>Arxivat</v>
      </c>
      <c r="G13" s="33" t="str">
        <v/>
      </c>
      <c r="H13" s="33">
        <v>0</v>
      </c>
    </row>
    <row r="14" ht="18" customHeight="1">
      <c r="A14" s="34" t="str">
        <v>2026-05-20</v>
      </c>
      <c r="B14" s="34" t="str">
        <v>Dimecres</v>
      </c>
      <c r="C14" s="34" t="str">
        <v>Marc Vidal</v>
      </c>
      <c r="D14" s="34" t="str">
        <v>Permis matrimoni fill</v>
      </c>
      <c r="E14" s="34" t="str">
        <f>f1b</f>
        <v>f1a</v>
      </c>
      <c r="F14" s="34" t="str">
        <v>Arxivat</v>
      </c>
      <c r="G14" s="34" t="str">
        <v>Arnau Sala</v>
      </c>
      <c r="H14" s="34">
        <v>7</v>
      </c>
    </row>
    <row r="15" ht="18" customHeight="1">
      <c r="A15" s="33" t="str">
        <v>2026-05-19</v>
      </c>
      <c r="B15" s="33" t="str">
        <v>Dimarts</v>
      </c>
      <c r="C15" s="33" t="str">
        <v>Laia Ros</v>
      </c>
      <c r="D15" s="33" t="str">
        <v>Malaltia</v>
      </c>
      <c r="E15" s="33" t="str">
        <f>f1b</f>
        <v>f1a</v>
      </c>
      <c r="F15" s="33" t="str">
        <v>Arxivat</v>
      </c>
      <c r="G15" s="33" t="str">
        <v>Marta Ferrer</v>
      </c>
      <c r="H15" s="33">
        <v>3</v>
      </c>
    </row>
    <row r="16" ht="18" customHeight="1">
      <c r="A16" s="34" t="str">
        <v>2026-05-12</v>
      </c>
      <c r="B16" s="34" t="str">
        <v>Dimarts</v>
      </c>
      <c r="C16" s="34" t="str">
        <v>Jordi Bosch</v>
      </c>
      <c r="D16" s="34" t="str">
        <v>Visita medica</v>
      </c>
      <c r="E16" s="34" t="str">
        <f>f1b</f>
        <v>f1a</v>
      </c>
      <c r="F16" s="34" t="str">
        <v>Arxivat</v>
      </c>
      <c r="G16" s="34" t="str">
        <v>Gemma Tort</v>
      </c>
      <c r="H16" s="34">
        <v>2</v>
      </c>
    </row>
    <row r="17" ht="18" customHeight="1">
      <c r="A17" s="33" t="str">
        <v>2026-05-05</v>
      </c>
      <c r="B17" s="33" t="str">
        <v>Dimarts</v>
      </c>
      <c r="C17" s="33" t="str">
        <v>Anna Puig</v>
      </c>
      <c r="D17" s="33" t="str">
        <v>Malaltia</v>
      </c>
      <c r="E17" s="33" t="str">
        <f>f1b</f>
        <v>f1a</v>
      </c>
      <c r="F17" s="33" t="str">
        <v>Arxivat</v>
      </c>
      <c r="G17" s="33" t="str">
        <v>Nuria Camps</v>
      </c>
      <c r="H17" s="33">
        <v>5</v>
      </c>
    </row>
    <row r="18" ht="18" customHeight="1">
      <c r="A18" s="34" t="str">
        <v>2026-04-22</v>
      </c>
      <c r="B18" s="34" t="str">
        <v>Dimecres</v>
      </c>
      <c r="C18" s="34" t="str">
        <v>Pau Esteve</v>
      </c>
      <c r="D18" s="34" t="str">
        <v>Malaltia</v>
      </c>
      <c r="E18" s="34" t="str">
        <f>f1b</f>
        <v>f1a</v>
      </c>
      <c r="F18" s="34" t="str">
        <v>Arxivat</v>
      </c>
      <c r="G18" s="34" t="str">
        <v>Marc Vidal; Sara Prat</v>
      </c>
      <c r="H18" s="34">
        <v>5</v>
      </c>
    </row>
    <row r="19" ht="18" customHeight="1">
      <c r="A19" s="33" t="str">
        <v>2026-04-16</v>
      </c>
      <c r="B19" s="33" t="str">
        <v>Dijous</v>
      </c>
      <c r="C19" s="33" t="str">
        <v>Aurora Pons</v>
      </c>
      <c r="D19" s="33" t="str">
        <v>Visita medica</v>
      </c>
      <c r="E19" s="33" t="str">
        <f>f1b</f>
        <v>f1a</v>
      </c>
      <c r="F19" s="33" t="str">
        <v>Arxivat</v>
      </c>
      <c r="G19" s="33" t="str">
        <v>Nuria Camps</v>
      </c>
      <c r="H19" s="33">
        <v>2</v>
      </c>
    </row>
    <row r="20" ht="18" customHeight="1">
      <c r="A20" s="34" t="str">
        <v>2026-04-14</v>
      </c>
      <c r="B20" s="34" t="str">
        <v>Dimarts</v>
      </c>
      <c r="C20" s="34" t="str">
        <v>Arnau Sala</v>
      </c>
      <c r="D20" s="34" t="str">
        <v>Visita medica</v>
      </c>
      <c r="E20" s="34" t="str">
        <f>f1b</f>
        <v>f1a</v>
      </c>
      <c r="F20" s="34" t="str">
        <v>Arxivat</v>
      </c>
      <c r="G20" s="34" t="str">
        <v>Elisabet Roca</v>
      </c>
      <c r="H20" s="34">
        <v>2</v>
      </c>
    </row>
    <row r="21" ht="18" customHeight="1">
      <c r="A21" s="33" t="str">
        <v>2026-04-08</v>
      </c>
      <c r="B21" s="33" t="str">
        <v>Dimecres</v>
      </c>
      <c r="C21" s="33" t="str">
        <v>Gemma Tort</v>
      </c>
      <c r="D21" s="33" t="str">
        <v>Malaltia</v>
      </c>
      <c r="E21" s="33" t="str">
        <f>f1b</f>
        <v>f1a</v>
      </c>
      <c r="F21" s="33" t="str">
        <v>Arxivat</v>
      </c>
      <c r="G21" s="33" t="str">
        <v>Carla Font; Jordi Bosch</v>
      </c>
      <c r="H21" s="33">
        <v>5</v>
      </c>
    </row>
    <row r="22" ht="18" customHeight="1">
      <c r="A22" s="34" t="str">
        <v>2026-03-24</v>
      </c>
      <c r="B22" s="34" t="str">
        <v>Dimarts</v>
      </c>
      <c r="C22" s="34" t="str">
        <v>Marta Ferrer</v>
      </c>
      <c r="D22" s="34" t="str">
        <v>Visita medica</v>
      </c>
      <c r="E22" s="34" t="str">
        <f>f1b</f>
        <v>f1a</v>
      </c>
      <c r="F22" s="34" t="str">
        <v>Arxivat</v>
      </c>
      <c r="G22" s="34" t="str">
        <v>Anna Puig</v>
      </c>
      <c r="H22" s="34">
        <v>3</v>
      </c>
    </row>
    <row r="23" ht="18" customHeight="1">
      <c r="A23" s="33" t="str">
        <v>2026-03-17</v>
      </c>
      <c r="B23" s="33" t="str">
        <v>Dimarts</v>
      </c>
      <c r="C23" s="33" t="str">
        <v>David Coma</v>
      </c>
      <c r="D23" s="33" t="str">
        <v>Malaltia</v>
      </c>
      <c r="E23" s="33" t="str">
        <f>f1b</f>
        <v>f1a</v>
      </c>
      <c r="F23" s="33" t="str">
        <v>Arxivat</v>
      </c>
      <c r="G23" s="33" t="str">
        <v>Roger Vila</v>
      </c>
      <c r="H23" s="33">
        <v>4</v>
      </c>
    </row>
    <row r="24" ht="18" customHeight="1">
      <c r="A24" s="34" t="str">
        <v>2026-03-10</v>
      </c>
      <c r="B24" s="34" t="str">
        <v>Dimarts</v>
      </c>
      <c r="C24" s="34" t="str">
        <v>Sara Prat</v>
      </c>
      <c r="D24" s="34" t="str">
        <v>Malaltia</v>
      </c>
      <c r="E24" s="34" t="str">
        <f>f1b</f>
        <v>f1a</v>
      </c>
      <c r="F24" s="34" t="str">
        <v>Arxivat</v>
      </c>
      <c r="G24" s="34" t="str">
        <v>Carla Font</v>
      </c>
      <c r="H24" s="34">
        <v>3</v>
      </c>
    </row>
    <row r="25" ht="18" customHeight="1">
      <c r="A25" s="33" t="str">
        <v>2026-03-05</v>
      </c>
      <c r="B25" s="33" t="str">
        <v>Dijous</v>
      </c>
      <c r="C25" s="33" t="str">
        <v>Clara Vives</v>
      </c>
      <c r="D25" s="33" t="str">
        <v>Malaltia</v>
      </c>
      <c r="E25" s="33" t="str">
        <f>f1b</f>
        <v>f1a</v>
      </c>
      <c r="F25" s="33" t="str">
        <v>Arxivat</v>
      </c>
      <c r="G25" s="33" t="str">
        <v>Nuria Camps</v>
      </c>
      <c r="H25" s="33">
        <v>3</v>
      </c>
    </row>
    <row r="26" ht="18" customHeight="1">
      <c r="A26" s="34" t="str">
        <v>2026-03-03</v>
      </c>
      <c r="B26" s="34" t="str">
        <v>Dimarts</v>
      </c>
      <c r="C26" s="34" t="str">
        <v>Pere Mas</v>
      </c>
      <c r="D26" s="34" t="str">
        <v>Examen oficial</v>
      </c>
      <c r="E26" s="34" t="str">
        <f>f1b</f>
        <v>f1a</v>
      </c>
      <c r="F26" s="34" t="str">
        <v>Arxivat</v>
      </c>
      <c r="G26" s="34" t="str">
        <v>Pau Esteve</v>
      </c>
      <c r="H26" s="34">
        <v>3</v>
      </c>
    </row>
    <row r="27" ht="18" customHeight="1">
      <c r="A27" s="33" t="str">
        <v>2026-02-24</v>
      </c>
      <c r="B27" s="33" t="str">
        <v>Dimarts</v>
      </c>
      <c r="C27" s="33" t="str">
        <v>Nuria Camps</v>
      </c>
      <c r="D27" s="33" t="str">
        <v>Malaltia</v>
      </c>
      <c r="E27" s="33" t="str">
        <f>f1b</f>
        <v>f1a</v>
      </c>
      <c r="F27" s="33" t="str">
        <v>Arxivat</v>
      </c>
      <c r="G27" s="33" t="str">
        <v>Gemma Tort</v>
      </c>
      <c r="H27" s="33">
        <v>2</v>
      </c>
    </row>
    <row r="28" ht="18" customHeight="1">
      <c r="A28" s="34" t="str">
        <v>2026-02-17</v>
      </c>
      <c r="B28" s="34" t="str">
        <v>Dimarts</v>
      </c>
      <c r="C28" s="34" t="str">
        <v>Laia Ros</v>
      </c>
      <c r="D28" s="34" t="str">
        <v>Malaltia</v>
      </c>
      <c r="E28" s="34" t="str">
        <f>f1b</f>
        <v>f1a</v>
      </c>
      <c r="F28" s="34" t="str">
        <v>Arxivat</v>
      </c>
      <c r="G28" s="34" t="str">
        <v>Marta Ferrer; Carla Font</v>
      </c>
      <c r="H28" s="34">
        <v>5</v>
      </c>
    </row>
    <row r="29" ht="18" customHeight="1">
      <c r="A29" s="33" t="str">
        <v>2026-02-10</v>
      </c>
      <c r="B29" s="33" t="str">
        <v>Dimarts</v>
      </c>
      <c r="C29" s="33" t="str">
        <v>Toni Jove</v>
      </c>
      <c r="D29" s="33" t="str">
        <v>Visita medica</v>
      </c>
      <c r="E29" s="33" t="str">
        <f>f1b</f>
        <v>f1a</v>
      </c>
      <c r="F29" s="33" t="str">
        <v>Arxivat</v>
      </c>
      <c r="G29" s="33" t="str">
        <v>Gemma Tort</v>
      </c>
      <c r="H29" s="33">
        <v>2</v>
      </c>
    </row>
    <row r="30" ht="18" customHeight="1">
      <c r="A30" s="34" t="str">
        <v>2026-02-03</v>
      </c>
      <c r="B30" s="34" t="str">
        <v>Dimarts</v>
      </c>
      <c r="C30" s="34" t="str">
        <v>Jordi Bosch</v>
      </c>
      <c r="D30" s="34" t="str">
        <v>Malaltia</v>
      </c>
      <c r="E30" s="34" t="str">
        <f>f1b</f>
        <v>f1a</v>
      </c>
      <c r="F30" s="34" t="str">
        <v>Arxivat</v>
      </c>
      <c r="G30" s="34" t="str">
        <v>Marc Vidal</v>
      </c>
      <c r="H30" s="34">
        <v>5</v>
      </c>
    </row>
    <row r="31" ht="18" customHeight="1">
      <c r="A31" s="33" t="str">
        <v>2026-01-29</v>
      </c>
      <c r="B31" s="33" t="str">
        <v>Dijous</v>
      </c>
      <c r="C31" s="33" t="str">
        <v>Elisabet Roca</v>
      </c>
      <c r="D31" s="33" t="str">
        <v>Visita medica</v>
      </c>
      <c r="E31" s="33" t="str">
        <f>f1b</f>
        <v>f1a</v>
      </c>
      <c r="F31" s="33" t="str">
        <v>Arxivat</v>
      </c>
      <c r="G31" s="33" t="str">
        <v>Sara Prat</v>
      </c>
      <c r="H31" s="33">
        <v>2</v>
      </c>
    </row>
    <row r="32" ht="18" customHeight="1">
      <c r="A32" s="34" t="str">
        <v>2026-01-27</v>
      </c>
      <c r="B32" s="34" t="str">
        <v>Dimarts</v>
      </c>
      <c r="C32" s="34" t="str">
        <v>Marc Vidal</v>
      </c>
      <c r="D32" s="34" t="str">
        <v>Malaltia</v>
      </c>
      <c r="E32" s="34" t="str">
        <f>f1b</f>
        <v>f1a</v>
      </c>
      <c r="F32" s="34" t="str">
        <v>Arxivat</v>
      </c>
      <c r="G32" s="34" t="str">
        <v>Arnau Sala</v>
      </c>
      <c r="H32" s="34">
        <v>5</v>
      </c>
    </row>
    <row r="33" ht="18" customHeight="1">
      <c r="A33" s="33" t="str">
        <v>2026-01-20</v>
      </c>
      <c r="B33" s="33" t="str">
        <v>Dimarts</v>
      </c>
      <c r="C33" s="33" t="str">
        <v>Roger Vila</v>
      </c>
      <c r="D33" s="33" t="str">
        <v>Permis per dol</v>
      </c>
      <c r="E33" s="33" t="str">
        <f>f1b</f>
        <v>f1a</v>
      </c>
      <c r="F33" s="33" t="str">
        <v>Arxivat</v>
      </c>
      <c r="G33" s="33" t="str">
        <v>Gemma Tort</v>
      </c>
      <c r="H33" s="33">
        <v>3</v>
      </c>
    </row>
    <row r="34" ht="18" customHeight="1">
      <c r="A34" s="34" t="str">
        <v>2026-01-13</v>
      </c>
      <c r="B34" s="34" t="str">
        <v>Dimarts</v>
      </c>
      <c r="C34" s="34" t="str">
        <v>Anna Puig</v>
      </c>
      <c r="D34" s="34" t="str">
        <v>Malaltia</v>
      </c>
      <c r="E34" s="34" t="str">
        <f>f1b</f>
        <v>f1a</v>
      </c>
      <c r="F34" s="34" t="str">
        <v>Arxivat</v>
      </c>
      <c r="G34" s="34" t="str">
        <v>Nuria Camps; Gemma Tort</v>
      </c>
      <c r="H34" s="34">
        <v>7</v>
      </c>
    </row>
    <row r="35" ht="18" customHeight="1">
      <c r="A35" s="33" t="str">
        <v>2025-12-16</v>
      </c>
      <c r="B35" s="33" t="str">
        <v>Dimarts</v>
      </c>
      <c r="C35" s="33" t="str">
        <v>Pau Esteve</v>
      </c>
      <c r="D35" s="33" t="str">
        <v>Malaltia</v>
      </c>
      <c r="E35" s="33" t="str">
        <f>f1b</f>
        <v>f1a</v>
      </c>
      <c r="F35" s="33" t="str">
        <v>Arxivat</v>
      </c>
      <c r="G35" s="33" t="str">
        <v>Jordi Bosch; Marc Vidal</v>
      </c>
      <c r="H35" s="33">
        <v>3</v>
      </c>
    </row>
    <row r="36" ht="18" customHeight="1">
      <c r="A36" s="34" t="str">
        <v>2025-12-10</v>
      </c>
      <c r="B36" s="34" t="str">
        <v>Dimecres</v>
      </c>
      <c r="C36" s="34" t="str">
        <v>Arnau Sala</v>
      </c>
      <c r="D36" s="34" t="str">
        <v>Visita medica</v>
      </c>
      <c r="E36" s="34" t="str">
        <f>f1b</f>
        <v>f1a</v>
      </c>
      <c r="F36" s="34" t="str">
        <v>Arxivat</v>
      </c>
      <c r="G36" s="34" t="str">
        <v>Elisabet Roca</v>
      </c>
      <c r="H36" s="34">
        <v>2</v>
      </c>
    </row>
    <row r="37" ht="18" customHeight="1">
      <c r="A37" s="33" t="str">
        <v>2025-12-02</v>
      </c>
      <c r="B37" s="33" t="str">
        <v>Dimarts</v>
      </c>
      <c r="C37" s="33" t="str">
        <v>Carla Font</v>
      </c>
      <c r="D37" s="33" t="str">
        <v>Malaltia</v>
      </c>
      <c r="E37" s="33" t="str">
        <f>f1b</f>
        <v>f1a</v>
      </c>
      <c r="F37" s="33" t="str">
        <v>Arxivat</v>
      </c>
      <c r="G37" s="33" t="str">
        <v>Laia Ros; Anna Puig</v>
      </c>
      <c r="H37" s="33">
        <v>5</v>
      </c>
    </row>
    <row r="38" ht="18" customHeight="1">
      <c r="A38" s="34" t="str">
        <v>2025-11-26</v>
      </c>
      <c r="B38" s="34" t="str">
        <v>Dimecres</v>
      </c>
      <c r="C38" s="34" t="str">
        <v>David Coma</v>
      </c>
      <c r="D38" s="34" t="str">
        <v>Malaltia</v>
      </c>
      <c r="E38" s="34" t="str">
        <f>f1b</f>
        <v>f1a</v>
      </c>
      <c r="F38" s="34" t="str">
        <v>Arxivat</v>
      </c>
      <c r="G38" s="34" t="str">
        <v>Roger Vila</v>
      </c>
      <c r="H38" s="34">
        <v>2</v>
      </c>
    </row>
    <row r="39" ht="18" customHeight="1">
      <c r="A39" s="33" t="str">
        <v>2025-11-19</v>
      </c>
      <c r="B39" s="33" t="str">
        <v>Dimecres</v>
      </c>
      <c r="C39" s="33" t="str">
        <v>Laia Ros</v>
      </c>
      <c r="D39" s="33" t="str">
        <v>Malaltia</v>
      </c>
      <c r="E39" s="33" t="str">
        <f>f1b</f>
        <v>f1a</v>
      </c>
      <c r="F39" s="33" t="str">
        <v>Arxivat</v>
      </c>
      <c r="G39" s="33" t="str">
        <v/>
      </c>
      <c r="H39" s="33">
        <v>0</v>
      </c>
    </row>
    <row r="40" ht="18" customHeight="1">
      <c r="A40" s="34" t="str">
        <v>2025-11-12</v>
      </c>
      <c r="B40" s="34" t="str">
        <v>Dimecres</v>
      </c>
      <c r="C40" s="34" t="str">
        <v>Marc Vidal</v>
      </c>
      <c r="D40" s="34" t="str">
        <v>Permis matrimoni propi</v>
      </c>
      <c r="E40" s="34" t="str">
        <f>f1b</f>
        <v>f1a</v>
      </c>
      <c r="F40" s="34" t="str">
        <v>Arxivat</v>
      </c>
      <c r="G40" s="34" t="str">
        <v/>
      </c>
      <c r="H40" s="34">
        <v>0</v>
      </c>
    </row>
    <row r="41" ht="18" customHeight="1">
      <c r="A41" s="33" t="str">
        <v>2025-11-04</v>
      </c>
      <c r="B41" s="33" t="str">
        <v>Dimarts</v>
      </c>
      <c r="C41" s="33" t="str">
        <v>Sara Prat</v>
      </c>
      <c r="D41" s="33" t="str">
        <v>Malaltia</v>
      </c>
      <c r="E41" s="33" t="str">
        <f>f1b</f>
        <v>f1a</v>
      </c>
      <c r="F41" s="33" t="str">
        <v>Arxivat</v>
      </c>
      <c r="G41" s="33" t="str">
        <v/>
      </c>
      <c r="H41" s="33">
        <v>0</v>
      </c>
    </row>
    <row r="42" ht="18" customHeight="1">
      <c r="A42" s="34" t="str">
        <v>2025-10-30</v>
      </c>
      <c r="B42" s="34" t="str">
        <v>Dijous</v>
      </c>
      <c r="C42" s="34" t="str">
        <v>Gemma Tort</v>
      </c>
      <c r="D42" s="34" t="str">
        <v>Malaltia</v>
      </c>
      <c r="E42" s="34" t="str">
        <f>f1b</f>
        <v>f1a</v>
      </c>
      <c r="F42" s="34" t="str">
        <v>Arxivat</v>
      </c>
      <c r="G42" s="34" t="str">
        <v/>
      </c>
      <c r="H42" s="34">
        <v>0</v>
      </c>
    </row>
    <row r="43" ht="18" customHeight="1">
      <c r="A43" s="33" t="str">
        <v>2025-10-28</v>
      </c>
      <c r="B43" s="33" t="str">
        <v>Dimarts</v>
      </c>
      <c r="C43" s="33" t="str">
        <v>Toni Jove</v>
      </c>
      <c r="D43" s="33" t="str">
        <v>Assumpte personal</v>
      </c>
      <c r="E43" s="33" t="str">
        <f>f1b</f>
        <v>f1a</v>
      </c>
      <c r="F43" s="33" t="str">
        <v>Arxivat</v>
      </c>
      <c r="G43" s="33" t="str">
        <v/>
      </c>
      <c r="H43" s="33">
        <v>0</v>
      </c>
    </row>
    <row r="44" ht="18" customHeight="1">
      <c r="A44" s="34" t="str">
        <v>2025-10-21</v>
      </c>
      <c r="B44" s="34" t="str">
        <v>Dimarts</v>
      </c>
      <c r="C44" s="34" t="str">
        <v>Pere Mas</v>
      </c>
      <c r="D44" s="34" t="str">
        <v>Malaltia</v>
      </c>
      <c r="E44" s="34" t="str">
        <f>f1b</f>
        <v>f1a</v>
      </c>
      <c r="F44" s="34" t="str">
        <v>Arxivat</v>
      </c>
      <c r="G44" s="34" t="str">
        <v/>
      </c>
      <c r="H44" s="34">
        <v>0</v>
      </c>
    </row>
    <row r="45" ht="18" customHeight="1">
      <c r="A45" s="33" t="str">
        <v>2025-10-14</v>
      </c>
      <c r="B45" s="33" t="str">
        <v>Dimarts</v>
      </c>
      <c r="C45" s="33" t="str">
        <v>Jordi Bosch</v>
      </c>
      <c r="D45" s="33" t="str">
        <v>Visita medica</v>
      </c>
      <c r="E45" s="33" t="str">
        <f>f1b</f>
        <v>f1a</v>
      </c>
      <c r="F45" s="33" t="str">
        <v>Arxivat</v>
      </c>
      <c r="G45" s="33" t="str">
        <v/>
      </c>
      <c r="H45" s="33">
        <v>0</v>
      </c>
    </row>
    <row r="46" ht="18" customHeight="1">
      <c r="A46" s="34" t="str">
        <v>2025-10-06</v>
      </c>
      <c r="B46" s="34" t="str">
        <v>Dilluns</v>
      </c>
      <c r="C46" s="34" t="str">
        <v>Anna Puig</v>
      </c>
      <c r="D46" s="34" t="str">
        <v>Malaltia</v>
      </c>
      <c r="E46" s="34" t="str">
        <f>f1b</f>
        <v>f1a</v>
      </c>
      <c r="F46" s="34" t="str">
        <v>Arxivat</v>
      </c>
      <c r="G46" s="34" t="str">
        <v/>
      </c>
      <c r="H46" s="34">
        <v>0</v>
      </c>
    </row>
  </sheetData>
  <mergeCells count="2">
    <mergeCell ref="A1:G1"/>
    <mergeCell ref="A2:H2"/>
  </mergeCells>
  <ignoredErrors>
    <ignoredError numberStoredAsText="1" sqref="A1:H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"/>
  <sheetViews>
    <sheetView workbookViewId="0"/>
  </sheetViews>
  <cols>
    <col min="1" max="1" width="40.83203125" customWidth="1"/>
    <col min="2" max="2" width="11.83203125" customWidth="1"/>
    <col min="3" max="3" width="16.83203125" customWidth="1"/>
    <col min="4" max="4" width="15.83203125" customWidth="1"/>
    <col min="5" max="5" width="10.83203125" customWidth="1"/>
    <col min="6" max="6" width="10.83203125" customWidth="1"/>
    <col min="7" max="7" width="24.83203125" customWidth="1"/>
  </cols>
  <sheetData>
    <row r="1" ht="44" customHeight="1">
      <c r="A1" s="3" t="str">
        <v>Escola Demo - HorariaPro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5" t="str">
        <v>Generat per HorariaPro</v>
      </c>
    </row>
    <row r="2" ht="22" customHeight="1">
      <c r="A2" s="6" t="str">
        <v>Curs 2025–2026 · Cobertures · 05/08/2026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</row>
    <row r="3" ht="8" customHeight="1">
      <c r="A3" s="31" t="str">
        <v/>
      </c>
      <c r="B3" s="31" t="str">
        <v/>
      </c>
      <c r="C3" s="31" t="str">
        <v/>
      </c>
      <c r="D3" s="31" t="str">
        <v/>
      </c>
      <c r="E3" s="31" t="str">
        <v/>
      </c>
      <c r="F3" s="31" t="str">
        <v/>
      </c>
      <c r="G3" s="31" t="str">
        <v/>
      </c>
    </row>
    <row r="4" ht="28" customHeight="1">
      <c r="A4" s="32" t="str">
        <v>Data</v>
      </c>
      <c r="B4" s="32" t="str">
        <v>Dia</v>
      </c>
      <c r="C4" s="32" t="str">
        <v>Docent cobrint</v>
      </c>
      <c r="D4" s="32" t="str">
        <v>Docent absent</v>
      </c>
      <c r="E4" s="32" t="str">
        <v>Franja</v>
      </c>
      <c r="F4" s="32" t="str">
        <v>Grup</v>
      </c>
      <c r="G4" s="32" t="str">
        <v>TP afectat</v>
      </c>
    </row>
    <row r="5" ht="18" customHeight="1">
      <c r="A5" s="33" t="str">
        <v>2026-07-31</v>
      </c>
      <c r="B5" s="33" t="str">
        <v>Divendres</v>
      </c>
      <c r="C5" s="33" t="str">
        <v>Laia Ros</v>
      </c>
      <c r="D5" s="33" t="str">
        <v>Anna Puig</v>
      </c>
      <c r="E5" s="33" t="str">
        <v>f1b</v>
      </c>
      <c r="F5" s="33" t="str">
        <v>1rA</v>
      </c>
      <c r="G5" s="33" t="str">
        <v>Sí</v>
      </c>
    </row>
    <row r="6" ht="18" customHeight="1">
      <c r="A6" s="34" t="str">
        <v>2026-07-31</v>
      </c>
      <c r="B6" s="34" t="str">
        <v>Divendres</v>
      </c>
      <c r="C6" s="34" t="str">
        <v>Laia Ros</v>
      </c>
      <c r="D6" s="34" t="str">
        <v>Anna Puig</v>
      </c>
      <c r="E6" s="34" t="str">
        <v>f2a</v>
      </c>
      <c r="F6" s="34" t="str">
        <v>1rA</v>
      </c>
      <c r="G6" s="34" t="str">
        <v>Sí</v>
      </c>
    </row>
    <row r="7" ht="18" customHeight="1">
      <c r="A7" s="33" t="str">
        <v>2026-07-31</v>
      </c>
      <c r="B7" s="33" t="str">
        <v>Divendres</v>
      </c>
      <c r="C7" s="33" t="str">
        <v>Gemma Tort</v>
      </c>
      <c r="D7" s="33" t="str">
        <v>Anna Puig</v>
      </c>
      <c r="E7" s="33" t="str">
        <v>f1a</v>
      </c>
      <c r="F7" s="33" t="str">
        <v>3rA</v>
      </c>
      <c r="G7" s="33" t="str">
        <v>No</v>
      </c>
    </row>
    <row r="8" ht="18" customHeight="1">
      <c r="A8" s="34" t="str">
        <v>2026-06-24</v>
      </c>
      <c r="B8" s="34" t="str">
        <v>Dimecres</v>
      </c>
      <c r="C8" s="34" t="str">
        <v>Leyre Martin</v>
      </c>
      <c r="D8" s="34" t="str">
        <v>Jordi Bosch</v>
      </c>
      <c r="E8" s="34" t="str">
        <v>f2a</v>
      </c>
      <c r="F8" s="34" t="str">
        <v>2nB</v>
      </c>
      <c r="G8" s="34" t="str">
        <v>No</v>
      </c>
    </row>
    <row r="9" ht="18" customHeight="1">
      <c r="A9" s="33" t="str">
        <v>2026-06-24</v>
      </c>
      <c r="B9" s="33" t="str">
        <v>Dimecres</v>
      </c>
      <c r="C9" s="33" t="str">
        <v>Leyre Martin</v>
      </c>
      <c r="D9" s="33" t="str">
        <v>Jordi Bosch</v>
      </c>
      <c r="E9" s="33" t="str">
        <v>f1a</v>
      </c>
      <c r="F9" s="33" t="str">
        <v>2nB</v>
      </c>
      <c r="G9" s="33" t="str">
        <v>No</v>
      </c>
    </row>
    <row r="10" ht="18" customHeight="1">
      <c r="A10" s="34" t="str">
        <v>2026-06-24</v>
      </c>
      <c r="B10" s="34" t="str">
        <v>Dimecres</v>
      </c>
      <c r="C10" s="34" t="str">
        <v>Leyre Martin</v>
      </c>
      <c r="D10" s="34" t="str">
        <v>Jordi Bosch</v>
      </c>
      <c r="E10" s="34" t="str">
        <v>f1b</v>
      </c>
      <c r="F10" s="34" t="str">
        <v>2nB</v>
      </c>
      <c r="G10" s="34" t="str">
        <v>No</v>
      </c>
    </row>
    <row r="11" ht="18" customHeight="1">
      <c r="A11" s="33" t="str">
        <v>2026-06-24</v>
      </c>
      <c r="B11" s="33" t="str">
        <v>Dimecres</v>
      </c>
      <c r="C11" s="33" t="str">
        <v>Isa Roca</v>
      </c>
      <c r="D11" s="33" t="str">
        <v>Sara Prat</v>
      </c>
      <c r="E11" s="33" t="str">
        <v>f3b</v>
      </c>
      <c r="F11" s="33" t="str">
        <v>5eA</v>
      </c>
      <c r="G11" s="33" t="str">
        <v>No</v>
      </c>
    </row>
    <row r="12" ht="18" customHeight="1">
      <c r="A12" s="34" t="str">
        <v>2026-06-24</v>
      </c>
      <c r="B12" s="34" t="str">
        <v>Dimecres</v>
      </c>
      <c r="C12" s="34" t="str">
        <v>Isa Roca</v>
      </c>
      <c r="D12" s="34" t="str">
        <v>Sara Prat</v>
      </c>
      <c r="E12" s="34" t="str">
        <v>f3a</v>
      </c>
      <c r="F12" s="34" t="str">
        <v>5eA</v>
      </c>
      <c r="G12" s="34" t="str">
        <v>No</v>
      </c>
    </row>
    <row r="13" ht="18" customHeight="1">
      <c r="A13" s="33" t="str">
        <v>2026-05-22</v>
      </c>
      <c r="B13" s="33" t="str">
        <v>Divendres</v>
      </c>
      <c r="C13" s="33" t="str">
        <v>Nuria Camps</v>
      </c>
      <c r="D13" s="33" t="str">
        <v>Clara Vives</v>
      </c>
      <c r="E13" s="33" t="str">
        <v>f1b</v>
      </c>
      <c r="F13" s="33" t="str">
        <v>SIEI</v>
      </c>
      <c r="G13" s="33" t="str">
        <v>No</v>
      </c>
    </row>
    <row r="14" ht="18" customHeight="1">
      <c r="A14" s="34" t="str">
        <v>2026-05-22</v>
      </c>
      <c r="B14" s="34" t="str">
        <v>Divendres</v>
      </c>
      <c r="C14" s="34" t="str">
        <v>Nuria Camps</v>
      </c>
      <c r="D14" s="34" t="str">
        <v>Clara Vives</v>
      </c>
      <c r="E14" s="34" t="str">
        <v>f1a</v>
      </c>
      <c r="F14" s="34" t="str">
        <v>SIEI</v>
      </c>
      <c r="G14" s="34" t="str">
        <v>No</v>
      </c>
    </row>
    <row r="15" ht="18" customHeight="1">
      <c r="A15" s="33" t="str">
        <v>2026-05-20</v>
      </c>
      <c r="B15" s="33" t="str">
        <v>Dimecres</v>
      </c>
      <c r="C15" s="33" t="str">
        <v>Arnau Sala</v>
      </c>
      <c r="D15" s="33" t="str">
        <v>Marc Vidal</v>
      </c>
      <c r="E15" s="33" t="str">
        <v>f1b</v>
      </c>
      <c r="F15" s="33" t="str">
        <v>3rB</v>
      </c>
      <c r="G15" s="33" t="str">
        <v>No</v>
      </c>
    </row>
    <row r="16" ht="18" customHeight="1">
      <c r="A16" s="34" t="str">
        <v>2026-05-20</v>
      </c>
      <c r="B16" s="34" t="str">
        <v>Dimecres</v>
      </c>
      <c r="C16" s="34" t="str">
        <v>Arnau Sala</v>
      </c>
      <c r="D16" s="34" t="str">
        <v>Marc Vidal</v>
      </c>
      <c r="E16" s="34" t="str">
        <v>f5b</v>
      </c>
      <c r="F16" s="34" t="str">
        <v>3rB</v>
      </c>
      <c r="G16" s="34" t="str">
        <v>Sí</v>
      </c>
    </row>
    <row r="17" ht="18" customHeight="1">
      <c r="A17" s="33" t="str">
        <v>2026-05-20</v>
      </c>
      <c r="B17" s="33" t="str">
        <v>Dimecres</v>
      </c>
      <c r="C17" s="33" t="str">
        <v>Arnau Sala</v>
      </c>
      <c r="D17" s="33" t="str">
        <v>Marc Vidal</v>
      </c>
      <c r="E17" s="33" t="str">
        <v>f5a</v>
      </c>
      <c r="F17" s="33" t="str">
        <v>3rB</v>
      </c>
      <c r="G17" s="33" t="str">
        <v>Sí</v>
      </c>
    </row>
    <row r="18" ht="18" customHeight="1">
      <c r="A18" s="34" t="str">
        <v>2026-05-20</v>
      </c>
      <c r="B18" s="34" t="str">
        <v>Dimecres</v>
      </c>
      <c r="C18" s="34" t="str">
        <v>Arnau Sala</v>
      </c>
      <c r="D18" s="34" t="str">
        <v>Marc Vidal</v>
      </c>
      <c r="E18" s="34" t="str">
        <v>f3b</v>
      </c>
      <c r="F18" s="34" t="str">
        <v>3rB</v>
      </c>
      <c r="G18" s="34" t="str">
        <v>No</v>
      </c>
    </row>
    <row r="19" ht="18" customHeight="1">
      <c r="A19" s="33" t="str">
        <v>2026-05-20</v>
      </c>
      <c r="B19" s="33" t="str">
        <v>Dimecres</v>
      </c>
      <c r="C19" s="33" t="str">
        <v>Arnau Sala</v>
      </c>
      <c r="D19" s="33" t="str">
        <v>Marc Vidal</v>
      </c>
      <c r="E19" s="33" t="str">
        <v>f3a</v>
      </c>
      <c r="F19" s="33" t="str">
        <v>3rB</v>
      </c>
      <c r="G19" s="33" t="str">
        <v>No</v>
      </c>
    </row>
    <row r="20" ht="18" customHeight="1">
      <c r="A20" s="34" t="str">
        <v>2026-05-20</v>
      </c>
      <c r="B20" s="34" t="str">
        <v>Dimecres</v>
      </c>
      <c r="C20" s="34" t="str">
        <v>Arnau Sala</v>
      </c>
      <c r="D20" s="34" t="str">
        <v>Marc Vidal</v>
      </c>
      <c r="E20" s="34" t="str">
        <v>f2a</v>
      </c>
      <c r="F20" s="34" t="str">
        <v>3rB</v>
      </c>
      <c r="G20" s="34" t="str">
        <v>No</v>
      </c>
    </row>
    <row r="21" ht="18" customHeight="1">
      <c r="A21" s="33" t="str">
        <v>2026-05-20</v>
      </c>
      <c r="B21" s="33" t="str">
        <v>Dimecres</v>
      </c>
      <c r="C21" s="33" t="str">
        <v>Arnau Sala</v>
      </c>
      <c r="D21" s="33" t="str">
        <v>Marc Vidal</v>
      </c>
      <c r="E21" s="33" t="str">
        <v>f1a</v>
      </c>
      <c r="F21" s="33" t="str">
        <v>3rB</v>
      </c>
      <c r="G21" s="33" t="str">
        <v>No</v>
      </c>
    </row>
    <row r="22" ht="18" customHeight="1">
      <c r="A22" s="34" t="str">
        <v>2026-05-19</v>
      </c>
      <c r="B22" s="34" t="str">
        <v>Dimarts</v>
      </c>
      <c r="C22" s="34" t="str">
        <v>Marta Ferrer</v>
      </c>
      <c r="D22" s="34" t="str">
        <v>Laia Ros</v>
      </c>
      <c r="E22" s="34" t="str">
        <v>f1b</v>
      </c>
      <c r="F22" s="34" t="str">
        <v>1rA</v>
      </c>
      <c r="G22" s="34" t="str">
        <v>No</v>
      </c>
    </row>
    <row r="23" ht="18" customHeight="1">
      <c r="A23" s="33" t="str">
        <v>2026-05-19</v>
      </c>
      <c r="B23" s="33" t="str">
        <v>Dimarts</v>
      </c>
      <c r="C23" s="33" t="str">
        <v>Marta Ferrer</v>
      </c>
      <c r="D23" s="33" t="str">
        <v>Laia Ros</v>
      </c>
      <c r="E23" s="33" t="str">
        <v>f2a</v>
      </c>
      <c r="F23" s="33" t="str">
        <v>1rA</v>
      </c>
      <c r="G23" s="33" t="str">
        <v>No</v>
      </c>
    </row>
    <row r="24" ht="18" customHeight="1">
      <c r="A24" s="34" t="str">
        <v>2026-05-19</v>
      </c>
      <c r="B24" s="34" t="str">
        <v>Dimarts</v>
      </c>
      <c r="C24" s="34" t="str">
        <v>Marta Ferrer</v>
      </c>
      <c r="D24" s="34" t="str">
        <v>Laia Ros</v>
      </c>
      <c r="E24" s="34" t="str">
        <v>f1a</v>
      </c>
      <c r="F24" s="34" t="str">
        <v>1rA</v>
      </c>
      <c r="G24" s="34" t="str">
        <v>No</v>
      </c>
    </row>
    <row r="25" ht="18" customHeight="1">
      <c r="A25" s="33" t="str">
        <v>2026-05-12</v>
      </c>
      <c r="B25" s="33" t="str">
        <v>Dimarts</v>
      </c>
      <c r="C25" s="33" t="str">
        <v>Gemma Tort</v>
      </c>
      <c r="D25" s="33" t="str">
        <v>Jordi Bosch</v>
      </c>
      <c r="E25" s="33" t="str">
        <v>f1b</v>
      </c>
      <c r="F25" s="33" t="str">
        <v>2nB</v>
      </c>
      <c r="G25" s="33" t="str">
        <v>No</v>
      </c>
    </row>
    <row r="26" ht="18" customHeight="1">
      <c r="A26" s="34" t="str">
        <v>2026-05-12</v>
      </c>
      <c r="B26" s="34" t="str">
        <v>Dimarts</v>
      </c>
      <c r="C26" s="34" t="str">
        <v>Gemma Tort</v>
      </c>
      <c r="D26" s="34" t="str">
        <v>Jordi Bosch</v>
      </c>
      <c r="E26" s="34" t="str">
        <v>f1a</v>
      </c>
      <c r="F26" s="34" t="str">
        <v>2nB</v>
      </c>
      <c r="G26" s="34" t="str">
        <v>No</v>
      </c>
    </row>
    <row r="27" ht="18" customHeight="1">
      <c r="A27" s="33" t="str">
        <v>2026-05-05</v>
      </c>
      <c r="B27" s="33" t="str">
        <v>Dimarts</v>
      </c>
      <c r="C27" s="33" t="str">
        <v>Nuria Camps</v>
      </c>
      <c r="D27" s="33" t="str">
        <v>Anna Puig</v>
      </c>
      <c r="E27" s="33" t="str">
        <v>f1b</v>
      </c>
      <c r="F27" s="33" t="str">
        <v>3rA</v>
      </c>
      <c r="G27" s="33" t="str">
        <v>No</v>
      </c>
    </row>
    <row r="28" ht="18" customHeight="1">
      <c r="A28" s="34" t="str">
        <v>2026-05-05</v>
      </c>
      <c r="B28" s="34" t="str">
        <v>Dimarts</v>
      </c>
      <c r="C28" s="34" t="str">
        <v>Nuria Camps</v>
      </c>
      <c r="D28" s="34" t="str">
        <v>Anna Puig</v>
      </c>
      <c r="E28" s="34" t="str">
        <v>f3b</v>
      </c>
      <c r="F28" s="34" t="str">
        <v>3rA</v>
      </c>
      <c r="G28" s="34" t="str">
        <v>No</v>
      </c>
    </row>
    <row r="29" ht="18" customHeight="1">
      <c r="A29" s="33" t="str">
        <v>2026-05-05</v>
      </c>
      <c r="B29" s="33" t="str">
        <v>Dimarts</v>
      </c>
      <c r="C29" s="33" t="str">
        <v>Nuria Camps</v>
      </c>
      <c r="D29" s="33" t="str">
        <v>Anna Puig</v>
      </c>
      <c r="E29" s="33" t="str">
        <v>f3a</v>
      </c>
      <c r="F29" s="33" t="str">
        <v>3rA</v>
      </c>
      <c r="G29" s="33" t="str">
        <v>No</v>
      </c>
    </row>
    <row r="30" ht="18" customHeight="1">
      <c r="A30" s="34" t="str">
        <v>2026-05-05</v>
      </c>
      <c r="B30" s="34" t="str">
        <v>Dimarts</v>
      </c>
      <c r="C30" s="34" t="str">
        <v>Nuria Camps</v>
      </c>
      <c r="D30" s="34" t="str">
        <v>Anna Puig</v>
      </c>
      <c r="E30" s="34" t="str">
        <v>f2a</v>
      </c>
      <c r="F30" s="34" t="str">
        <v>3rA</v>
      </c>
      <c r="G30" s="34" t="str">
        <v>No</v>
      </c>
    </row>
    <row r="31" ht="18" customHeight="1">
      <c r="A31" s="33" t="str">
        <v>2026-05-05</v>
      </c>
      <c r="B31" s="33" t="str">
        <v>Dimarts</v>
      </c>
      <c r="C31" s="33" t="str">
        <v>Nuria Camps</v>
      </c>
      <c r="D31" s="33" t="str">
        <v>Anna Puig</v>
      </c>
      <c r="E31" s="33" t="str">
        <v>f1a</v>
      </c>
      <c r="F31" s="33" t="str">
        <v>3rA</v>
      </c>
      <c r="G31" s="33" t="str">
        <v>No</v>
      </c>
    </row>
    <row r="32" ht="18" customHeight="1">
      <c r="A32" s="34" t="str">
        <v>2026-04-22</v>
      </c>
      <c r="B32" s="34" t="str">
        <v>Dimecres</v>
      </c>
      <c r="C32" s="34" t="str">
        <v>Marc Vidal</v>
      </c>
      <c r="D32" s="34" t="str">
        <v>Pau Esteve</v>
      </c>
      <c r="E32" s="34" t="str">
        <v>f1b</v>
      </c>
      <c r="F32" s="34" t="str">
        <v>Angles</v>
      </c>
      <c r="G32" s="34" t="str">
        <v>No</v>
      </c>
    </row>
    <row r="33" ht="18" customHeight="1">
      <c r="A33" s="33" t="str">
        <v>2026-04-22</v>
      </c>
      <c r="B33" s="33" t="str">
        <v>Dimecres</v>
      </c>
      <c r="C33" s="33" t="str">
        <v>Sara Prat</v>
      </c>
      <c r="D33" s="33" t="str">
        <v>Pau Esteve</v>
      </c>
      <c r="E33" s="33" t="str">
        <v>f3b</v>
      </c>
      <c r="F33" s="33" t="str">
        <v>Angles</v>
      </c>
      <c r="G33" s="33" t="str">
        <v>Sí</v>
      </c>
    </row>
    <row r="34" ht="18" customHeight="1">
      <c r="A34" s="34" t="str">
        <v>2026-04-22</v>
      </c>
      <c r="B34" s="34" t="str">
        <v>Dimecres</v>
      </c>
      <c r="C34" s="34" t="str">
        <v>Sara Prat</v>
      </c>
      <c r="D34" s="34" t="str">
        <v>Pau Esteve</v>
      </c>
      <c r="E34" s="34" t="str">
        <v>f3a</v>
      </c>
      <c r="F34" s="34" t="str">
        <v>Angles</v>
      </c>
      <c r="G34" s="34" t="str">
        <v>Sí</v>
      </c>
    </row>
    <row r="35" ht="18" customHeight="1">
      <c r="A35" s="33" t="str">
        <v>2026-04-22</v>
      </c>
      <c r="B35" s="33" t="str">
        <v>Dimecres</v>
      </c>
      <c r="C35" s="33" t="str">
        <v>Marc Vidal</v>
      </c>
      <c r="D35" s="33" t="str">
        <v>Pau Esteve</v>
      </c>
      <c r="E35" s="33" t="str">
        <v>f2a</v>
      </c>
      <c r="F35" s="33" t="str">
        <v>Angles</v>
      </c>
      <c r="G35" s="33" t="str">
        <v>No</v>
      </c>
    </row>
    <row r="36" ht="18" customHeight="1">
      <c r="A36" s="34" t="str">
        <v>2026-04-22</v>
      </c>
      <c r="B36" s="34" t="str">
        <v>Dimecres</v>
      </c>
      <c r="C36" s="34" t="str">
        <v>Marc Vidal</v>
      </c>
      <c r="D36" s="34" t="str">
        <v>Pau Esteve</v>
      </c>
      <c r="E36" s="34" t="str">
        <v>f1a</v>
      </c>
      <c r="F36" s="34" t="str">
        <v>Angles</v>
      </c>
      <c r="G36" s="34" t="str">
        <v>No</v>
      </c>
    </row>
    <row r="37" ht="18" customHeight="1">
      <c r="A37" s="33" t="str">
        <v>2026-04-16</v>
      </c>
      <c r="B37" s="33" t="str">
        <v>Dijous</v>
      </c>
      <c r="C37" s="33" t="str">
        <v>Nuria Camps</v>
      </c>
      <c r="D37" s="33" t="str">
        <v>Aurora Pons</v>
      </c>
      <c r="E37" s="33" t="str">
        <v>f2a</v>
      </c>
      <c r="F37" s="33" t="str">
        <v>SIEI+</v>
      </c>
      <c r="G37" s="33" t="str">
        <v>No</v>
      </c>
    </row>
    <row r="38" ht="18" customHeight="1">
      <c r="A38" s="34" t="str">
        <v>2026-04-16</v>
      </c>
      <c r="B38" s="34" t="str">
        <v>Dijous</v>
      </c>
      <c r="C38" s="34" t="str">
        <v>Nuria Camps</v>
      </c>
      <c r="D38" s="34" t="str">
        <v>Aurora Pons</v>
      </c>
      <c r="E38" s="34" t="str">
        <v>f1a</v>
      </c>
      <c r="F38" s="34" t="str">
        <v>SIEI+</v>
      </c>
      <c r="G38" s="34" t="str">
        <v>No</v>
      </c>
    </row>
    <row r="39" ht="18" customHeight="1">
      <c r="A39" s="33" t="str">
        <v>2026-04-14</v>
      </c>
      <c r="B39" s="33" t="str">
        <v>Dimarts</v>
      </c>
      <c r="C39" s="33" t="str">
        <v>Elisabet Roca</v>
      </c>
      <c r="D39" s="33" t="str">
        <v>Arnau Sala</v>
      </c>
      <c r="E39" s="33" t="str">
        <v>f1b</v>
      </c>
      <c r="F39" s="33" t="str">
        <v>6eB</v>
      </c>
      <c r="G39" s="33" t="str">
        <v>No</v>
      </c>
    </row>
    <row r="40" ht="18" customHeight="1">
      <c r="A40" s="34" t="str">
        <v>2026-04-14</v>
      </c>
      <c r="B40" s="34" t="str">
        <v>Dimarts</v>
      </c>
      <c r="C40" s="34" t="str">
        <v>Elisabet Roca</v>
      </c>
      <c r="D40" s="34" t="str">
        <v>Arnau Sala</v>
      </c>
      <c r="E40" s="34" t="str">
        <v>f1a</v>
      </c>
      <c r="F40" s="34" t="str">
        <v>6eB</v>
      </c>
      <c r="G40" s="34" t="str">
        <v>No</v>
      </c>
    </row>
    <row r="41" ht="18" customHeight="1">
      <c r="A41" s="33" t="str">
        <v>2026-04-08</v>
      </c>
      <c r="B41" s="33" t="str">
        <v>Dimecres</v>
      </c>
      <c r="C41" s="33" t="str">
        <v>Carla Font</v>
      </c>
      <c r="D41" s="33" t="str">
        <v>Gemma Tort</v>
      </c>
      <c r="E41" s="33" t="str">
        <v>f3a</v>
      </c>
      <c r="F41" s="33" t="str">
        <v>EF</v>
      </c>
      <c r="G41" s="33" t="str">
        <v>No</v>
      </c>
    </row>
    <row r="42" ht="18" customHeight="1">
      <c r="A42" s="34" t="str">
        <v>2026-04-08</v>
      </c>
      <c r="B42" s="34" t="str">
        <v>Dimecres</v>
      </c>
      <c r="C42" s="34" t="str">
        <v>Jordi Bosch</v>
      </c>
      <c r="D42" s="34" t="str">
        <v>Gemma Tort</v>
      </c>
      <c r="E42" s="34" t="str">
        <v>f2a</v>
      </c>
      <c r="F42" s="34" t="str">
        <v>EF</v>
      </c>
      <c r="G42" s="34" t="str">
        <v>No</v>
      </c>
    </row>
    <row r="43" ht="18" customHeight="1">
      <c r="A43" s="33" t="str">
        <v>2026-04-08</v>
      </c>
      <c r="B43" s="33" t="str">
        <v>Dimecres</v>
      </c>
      <c r="C43" s="33" t="str">
        <v>Jordi Bosch</v>
      </c>
      <c r="D43" s="33" t="str">
        <v>Gemma Tort</v>
      </c>
      <c r="E43" s="33" t="str">
        <v>f1b</v>
      </c>
      <c r="F43" s="33" t="str">
        <v>EF</v>
      </c>
      <c r="G43" s="33" t="str">
        <v>No</v>
      </c>
    </row>
    <row r="44" ht="18" customHeight="1">
      <c r="A44" s="34" t="str">
        <v>2026-04-08</v>
      </c>
      <c r="B44" s="34" t="str">
        <v>Dimecres</v>
      </c>
      <c r="C44" s="34" t="str">
        <v>Carla Font</v>
      </c>
      <c r="D44" s="34" t="str">
        <v>Gemma Tort</v>
      </c>
      <c r="E44" s="34" t="str">
        <v>f3b</v>
      </c>
      <c r="F44" s="34" t="str">
        <v>EF</v>
      </c>
      <c r="G44" s="34" t="str">
        <v>No</v>
      </c>
    </row>
    <row r="45" ht="18" customHeight="1">
      <c r="A45" s="33" t="str">
        <v>2026-04-08</v>
      </c>
      <c r="B45" s="33" t="str">
        <v>Dimecres</v>
      </c>
      <c r="C45" s="33" t="str">
        <v>Jordi Bosch</v>
      </c>
      <c r="D45" s="33" t="str">
        <v>Gemma Tort</v>
      </c>
      <c r="E45" s="33" t="str">
        <v>f1a</v>
      </c>
      <c r="F45" s="33" t="str">
        <v>EF</v>
      </c>
      <c r="G45" s="33" t="str">
        <v>No</v>
      </c>
    </row>
    <row r="46" ht="18" customHeight="1">
      <c r="A46" s="34" t="str">
        <v>2026-03-24</v>
      </c>
      <c r="B46" s="34" t="str">
        <v>Dimarts</v>
      </c>
      <c r="C46" s="34" t="str">
        <v>Anna Puig</v>
      </c>
      <c r="D46" s="34" t="str">
        <v>Marta Ferrer</v>
      </c>
      <c r="E46" s="34" t="str">
        <v>f1b</v>
      </c>
      <c r="F46" s="34" t="str">
        <v>4tA</v>
      </c>
      <c r="G46" s="34" t="str">
        <v>No</v>
      </c>
    </row>
    <row r="47" ht="18" customHeight="1">
      <c r="A47" s="33" t="str">
        <v>2026-03-24</v>
      </c>
      <c r="B47" s="33" t="str">
        <v>Dimarts</v>
      </c>
      <c r="C47" s="33" t="str">
        <v>Anna Puig</v>
      </c>
      <c r="D47" s="33" t="str">
        <v>Marta Ferrer</v>
      </c>
      <c r="E47" s="33" t="str">
        <v>f2a</v>
      </c>
      <c r="F47" s="33" t="str">
        <v>4tA</v>
      </c>
      <c r="G47" s="33" t="str">
        <v>No</v>
      </c>
    </row>
    <row r="48" ht="18" customHeight="1">
      <c r="A48" s="34" t="str">
        <v>2026-03-24</v>
      </c>
      <c r="B48" s="34" t="str">
        <v>Dimarts</v>
      </c>
      <c r="C48" s="34" t="str">
        <v>Anna Puig</v>
      </c>
      <c r="D48" s="34" t="str">
        <v>Marta Ferrer</v>
      </c>
      <c r="E48" s="34" t="str">
        <v>f1a</v>
      </c>
      <c r="F48" s="34" t="str">
        <v>4tA</v>
      </c>
      <c r="G48" s="34" t="str">
        <v>No</v>
      </c>
    </row>
    <row r="49" ht="18" customHeight="1">
      <c r="A49" s="33" t="str">
        <v>2026-03-17</v>
      </c>
      <c r="B49" s="33" t="str">
        <v>Dimarts</v>
      </c>
      <c r="C49" s="33" t="str">
        <v>Roger Vila</v>
      </c>
      <c r="D49" s="33" t="str">
        <v>David Coma</v>
      </c>
      <c r="E49" s="33" t="str">
        <v>f1b</v>
      </c>
      <c r="F49" s="33" t="str">
        <v>5eB</v>
      </c>
      <c r="G49" s="33" t="str">
        <v>No</v>
      </c>
    </row>
    <row r="50" ht="18" customHeight="1">
      <c r="A50" s="34" t="str">
        <v>2026-03-17</v>
      </c>
      <c r="B50" s="34" t="str">
        <v>Dimarts</v>
      </c>
      <c r="C50" s="34" t="str">
        <v>Roger Vila</v>
      </c>
      <c r="D50" s="34" t="str">
        <v>David Coma</v>
      </c>
      <c r="E50" s="34" t="str">
        <v>f3a</v>
      </c>
      <c r="F50" s="34" t="str">
        <v>5eB</v>
      </c>
      <c r="G50" s="34" t="str">
        <v>No</v>
      </c>
    </row>
    <row r="51" ht="18" customHeight="1">
      <c r="A51" s="33" t="str">
        <v>2026-03-17</v>
      </c>
      <c r="B51" s="33" t="str">
        <v>Dimarts</v>
      </c>
      <c r="C51" s="33" t="str">
        <v>Roger Vila</v>
      </c>
      <c r="D51" s="33" t="str">
        <v>David Coma</v>
      </c>
      <c r="E51" s="33" t="str">
        <v>f2a</v>
      </c>
      <c r="F51" s="33" t="str">
        <v>5eB</v>
      </c>
      <c r="G51" s="33" t="str">
        <v>No</v>
      </c>
    </row>
    <row r="52" ht="18" customHeight="1">
      <c r="A52" s="34" t="str">
        <v>2026-03-17</v>
      </c>
      <c r="B52" s="34" t="str">
        <v>Dimarts</v>
      </c>
      <c r="C52" s="34" t="str">
        <v>Roger Vila</v>
      </c>
      <c r="D52" s="34" t="str">
        <v>David Coma</v>
      </c>
      <c r="E52" s="34" t="str">
        <v>f1a</v>
      </c>
      <c r="F52" s="34" t="str">
        <v>5eB</v>
      </c>
      <c r="G52" s="34" t="str">
        <v>No</v>
      </c>
    </row>
    <row r="53" ht="18" customHeight="1">
      <c r="A53" s="33" t="str">
        <v>2026-03-10</v>
      </c>
      <c r="B53" s="33" t="str">
        <v>Dimarts</v>
      </c>
      <c r="C53" s="33" t="str">
        <v>Carla Font</v>
      </c>
      <c r="D53" s="33" t="str">
        <v>Sara Prat</v>
      </c>
      <c r="E53" s="33" t="str">
        <v>f1b</v>
      </c>
      <c r="F53" s="33" t="str">
        <v>5eA</v>
      </c>
      <c r="G53" s="33" t="str">
        <v>No</v>
      </c>
    </row>
    <row r="54" ht="18" customHeight="1">
      <c r="A54" s="34" t="str">
        <v>2026-03-10</v>
      </c>
      <c r="B54" s="34" t="str">
        <v>Dimarts</v>
      </c>
      <c r="C54" s="34" t="str">
        <v>Carla Font</v>
      </c>
      <c r="D54" s="34" t="str">
        <v>Sara Prat</v>
      </c>
      <c r="E54" s="34" t="str">
        <v>f2a</v>
      </c>
      <c r="F54" s="34" t="str">
        <v>5eA</v>
      </c>
      <c r="G54" s="34" t="str">
        <v>No</v>
      </c>
    </row>
    <row r="55" ht="18" customHeight="1">
      <c r="A55" s="33" t="str">
        <v>2026-03-10</v>
      </c>
      <c r="B55" s="33" t="str">
        <v>Dimarts</v>
      </c>
      <c r="C55" s="33" t="str">
        <v>Carla Font</v>
      </c>
      <c r="D55" s="33" t="str">
        <v>Sara Prat</v>
      </c>
      <c r="E55" s="33" t="str">
        <v>f1a</v>
      </c>
      <c r="F55" s="33" t="str">
        <v>5eA</v>
      </c>
      <c r="G55" s="33" t="str">
        <v>No</v>
      </c>
    </row>
    <row r="56" ht="18" customHeight="1">
      <c r="A56" s="34" t="str">
        <v>2026-03-05</v>
      </c>
      <c r="B56" s="34" t="str">
        <v>Dijous</v>
      </c>
      <c r="C56" s="34" t="str">
        <v>Nuria Camps</v>
      </c>
      <c r="D56" s="34" t="str">
        <v>Clara Vives</v>
      </c>
      <c r="E56" s="34" t="str">
        <v>f2a</v>
      </c>
      <c r="F56" s="34" t="str">
        <v>SIEI</v>
      </c>
      <c r="G56" s="34" t="str">
        <v>No</v>
      </c>
    </row>
    <row r="57" ht="18" customHeight="1">
      <c r="A57" s="33" t="str">
        <v>2026-03-05</v>
      </c>
      <c r="B57" s="33" t="str">
        <v>Dijous</v>
      </c>
      <c r="C57" s="33" t="str">
        <v>Nuria Camps</v>
      </c>
      <c r="D57" s="33" t="str">
        <v>Clara Vives</v>
      </c>
      <c r="E57" s="33" t="str">
        <v>f3a</v>
      </c>
      <c r="F57" s="33" t="str">
        <v>SIEI</v>
      </c>
      <c r="G57" s="33" t="str">
        <v>No</v>
      </c>
    </row>
    <row r="58" ht="18" customHeight="1">
      <c r="A58" s="34" t="str">
        <v>2026-03-05</v>
      </c>
      <c r="B58" s="34" t="str">
        <v>Dijous</v>
      </c>
      <c r="C58" s="34" t="str">
        <v>Nuria Camps</v>
      </c>
      <c r="D58" s="34" t="str">
        <v>Clara Vives</v>
      </c>
      <c r="E58" s="34" t="str">
        <v>f1a</v>
      </c>
      <c r="F58" s="34" t="str">
        <v>SIEI</v>
      </c>
      <c r="G58" s="34" t="str">
        <v>No</v>
      </c>
    </row>
    <row r="59" ht="18" customHeight="1">
      <c r="A59" s="33" t="str">
        <v>2026-03-03</v>
      </c>
      <c r="B59" s="33" t="str">
        <v>Dimarts</v>
      </c>
      <c r="C59" s="33" t="str">
        <v>Pau Esteve</v>
      </c>
      <c r="D59" s="33" t="str">
        <v>Pere Mas</v>
      </c>
      <c r="E59" s="33" t="str">
        <v>f1b</v>
      </c>
      <c r="F59" s="33" t="str">
        <v>1rB</v>
      </c>
      <c r="G59" s="33" t="str">
        <v>No</v>
      </c>
    </row>
    <row r="60" ht="18" customHeight="1">
      <c r="A60" s="34" t="str">
        <v>2026-03-03</v>
      </c>
      <c r="B60" s="34" t="str">
        <v>Dimarts</v>
      </c>
      <c r="C60" s="34" t="str">
        <v>Pau Esteve</v>
      </c>
      <c r="D60" s="34" t="str">
        <v>Pere Mas</v>
      </c>
      <c r="E60" s="34" t="str">
        <v>f2a</v>
      </c>
      <c r="F60" s="34" t="str">
        <v>1rB</v>
      </c>
      <c r="G60" s="34" t="str">
        <v>No</v>
      </c>
    </row>
    <row r="61" ht="18" customHeight="1">
      <c r="A61" s="33" t="str">
        <v>2026-03-03</v>
      </c>
      <c r="B61" s="33" t="str">
        <v>Dimarts</v>
      </c>
      <c r="C61" s="33" t="str">
        <v>Pau Esteve</v>
      </c>
      <c r="D61" s="33" t="str">
        <v>Pere Mas</v>
      </c>
      <c r="E61" s="33" t="str">
        <v>f1a</v>
      </c>
      <c r="F61" s="33" t="str">
        <v>1rB</v>
      </c>
      <c r="G61" s="33" t="str">
        <v>No</v>
      </c>
    </row>
    <row r="62" ht="18" customHeight="1">
      <c r="A62" s="34" t="str">
        <v>2026-02-24</v>
      </c>
      <c r="B62" s="34" t="str">
        <v>Dimarts</v>
      </c>
      <c r="C62" s="34" t="str">
        <v>Gemma Tort</v>
      </c>
      <c r="D62" s="34" t="str">
        <v>Nuria Camps</v>
      </c>
      <c r="E62" s="34" t="str">
        <v>f1b</v>
      </c>
      <c r="F62" s="34" t="str">
        <v>Suport</v>
      </c>
      <c r="G62" s="34" t="str">
        <v>No</v>
      </c>
    </row>
    <row r="63" ht="18" customHeight="1">
      <c r="A63" s="33" t="str">
        <v>2026-02-24</v>
      </c>
      <c r="B63" s="33" t="str">
        <v>Dimarts</v>
      </c>
      <c r="C63" s="33" t="str">
        <v>Gemma Tort</v>
      </c>
      <c r="D63" s="33" t="str">
        <v>Nuria Camps</v>
      </c>
      <c r="E63" s="33" t="str">
        <v>f1a</v>
      </c>
      <c r="F63" s="33" t="str">
        <v>Suport</v>
      </c>
      <c r="G63" s="33" t="str">
        <v>No</v>
      </c>
    </row>
    <row r="64" ht="18" customHeight="1">
      <c r="A64" s="34" t="str">
        <v>2026-02-17</v>
      </c>
      <c r="B64" s="34" t="str">
        <v>Dimarts</v>
      </c>
      <c r="C64" s="34" t="str">
        <v>Marta Ferrer</v>
      </c>
      <c r="D64" s="34" t="str">
        <v>Laia Ros</v>
      </c>
      <c r="E64" s="34" t="str">
        <v>f1a</v>
      </c>
      <c r="F64" s="34" t="str">
        <v>1rA</v>
      </c>
      <c r="G64" s="34" t="str">
        <v>No</v>
      </c>
    </row>
    <row r="65" ht="18" customHeight="1">
      <c r="A65" s="33" t="str">
        <v>2026-02-17</v>
      </c>
      <c r="B65" s="33" t="str">
        <v>Dimarts</v>
      </c>
      <c r="C65" s="33" t="str">
        <v>Carla Font</v>
      </c>
      <c r="D65" s="33" t="str">
        <v>Laia Ros</v>
      </c>
      <c r="E65" s="33" t="str">
        <v>f5b</v>
      </c>
      <c r="F65" s="33" t="str">
        <v>1rA</v>
      </c>
      <c r="G65" s="33" t="str">
        <v>Sí</v>
      </c>
    </row>
    <row r="66" ht="18" customHeight="1">
      <c r="A66" s="34" t="str">
        <v>2026-02-17</v>
      </c>
      <c r="B66" s="34" t="str">
        <v>Dimarts</v>
      </c>
      <c r="C66" s="34" t="str">
        <v>Carla Font</v>
      </c>
      <c r="D66" s="34" t="str">
        <v>Laia Ros</v>
      </c>
      <c r="E66" s="34" t="str">
        <v>f5a</v>
      </c>
      <c r="F66" s="34" t="str">
        <v>1rA</v>
      </c>
      <c r="G66" s="34" t="str">
        <v>Sí</v>
      </c>
    </row>
    <row r="67" ht="18" customHeight="1">
      <c r="A67" s="33" t="str">
        <v>2026-02-17</v>
      </c>
      <c r="B67" s="33" t="str">
        <v>Dimarts</v>
      </c>
      <c r="C67" s="33" t="str">
        <v>Marta Ferrer</v>
      </c>
      <c r="D67" s="33" t="str">
        <v>Laia Ros</v>
      </c>
      <c r="E67" s="33" t="str">
        <v>f3a</v>
      </c>
      <c r="F67" s="33" t="str">
        <v>1rA</v>
      </c>
      <c r="G67" s="33" t="str">
        <v>No</v>
      </c>
    </row>
    <row r="68" ht="18" customHeight="1">
      <c r="A68" s="34" t="str">
        <v>2026-02-17</v>
      </c>
      <c r="B68" s="34" t="str">
        <v>Dimarts</v>
      </c>
      <c r="C68" s="34" t="str">
        <v>Marta Ferrer</v>
      </c>
      <c r="D68" s="34" t="str">
        <v>Laia Ros</v>
      </c>
      <c r="E68" s="34" t="str">
        <v>f2a</v>
      </c>
      <c r="F68" s="34" t="str">
        <v>1rA</v>
      </c>
      <c r="G68" s="34" t="str">
        <v>No</v>
      </c>
    </row>
    <row r="69" ht="18" customHeight="1">
      <c r="A69" s="33" t="str">
        <v>2026-02-10</v>
      </c>
      <c r="B69" s="33" t="str">
        <v>Dimarts</v>
      </c>
      <c r="C69" s="33" t="str">
        <v>Gemma Tort</v>
      </c>
      <c r="D69" s="33" t="str">
        <v>Toni Jove</v>
      </c>
      <c r="E69" s="33" t="str">
        <v>f1a</v>
      </c>
      <c r="F69" s="33" t="str">
        <v>I5A</v>
      </c>
      <c r="G69" s="33" t="str">
        <v>No</v>
      </c>
    </row>
    <row r="70" ht="18" customHeight="1">
      <c r="A70" s="34" t="str">
        <v>2026-02-10</v>
      </c>
      <c r="B70" s="34" t="str">
        <v>Dimarts</v>
      </c>
      <c r="C70" s="34" t="str">
        <v>Gemma Tort</v>
      </c>
      <c r="D70" s="34" t="str">
        <v>Toni Jove</v>
      </c>
      <c r="E70" s="34" t="str">
        <v>f1b</v>
      </c>
      <c r="F70" s="34" t="str">
        <v>I5A</v>
      </c>
      <c r="G70" s="34" t="str">
        <v>No</v>
      </c>
    </row>
    <row r="71" ht="18" customHeight="1">
      <c r="A71" s="33" t="str">
        <v>2026-02-03</v>
      </c>
      <c r="B71" s="33" t="str">
        <v>Dimarts</v>
      </c>
      <c r="C71" s="33" t="str">
        <v>Marc Vidal</v>
      </c>
      <c r="D71" s="33" t="str">
        <v>Jordi Bosch</v>
      </c>
      <c r="E71" s="33" t="str">
        <v>f3b</v>
      </c>
      <c r="F71" s="33" t="str">
        <v>2nB</v>
      </c>
      <c r="G71" s="33" t="str">
        <v>No</v>
      </c>
    </row>
    <row r="72" ht="18" customHeight="1">
      <c r="A72" s="34" t="str">
        <v>2026-02-03</v>
      </c>
      <c r="B72" s="34" t="str">
        <v>Dimarts</v>
      </c>
      <c r="C72" s="34" t="str">
        <v>Marc Vidal</v>
      </c>
      <c r="D72" s="34" t="str">
        <v>Jordi Bosch</v>
      </c>
      <c r="E72" s="34" t="str">
        <v>f1a</v>
      </c>
      <c r="F72" s="34" t="str">
        <v>2nB</v>
      </c>
      <c r="G72" s="34" t="str">
        <v>No</v>
      </c>
    </row>
    <row r="73" ht="18" customHeight="1">
      <c r="A73" s="33" t="str">
        <v>2026-02-03</v>
      </c>
      <c r="B73" s="33" t="str">
        <v>Dimarts</v>
      </c>
      <c r="C73" s="33" t="str">
        <v>Marc Vidal</v>
      </c>
      <c r="D73" s="33" t="str">
        <v>Jordi Bosch</v>
      </c>
      <c r="E73" s="33" t="str">
        <v>f1b</v>
      </c>
      <c r="F73" s="33" t="str">
        <v>2nB</v>
      </c>
      <c r="G73" s="33" t="str">
        <v>No</v>
      </c>
    </row>
    <row r="74" ht="18" customHeight="1">
      <c r="A74" s="34" t="str">
        <v>2026-02-03</v>
      </c>
      <c r="B74" s="34" t="str">
        <v>Dimarts</v>
      </c>
      <c r="C74" s="34" t="str">
        <v>Marc Vidal</v>
      </c>
      <c r="D74" s="34" t="str">
        <v>Jordi Bosch</v>
      </c>
      <c r="E74" s="34" t="str">
        <v>f2a</v>
      </c>
      <c r="F74" s="34" t="str">
        <v>2nB</v>
      </c>
      <c r="G74" s="34" t="str">
        <v>No</v>
      </c>
    </row>
    <row r="75" ht="18" customHeight="1">
      <c r="A75" s="33" t="str">
        <v>2026-02-03</v>
      </c>
      <c r="B75" s="33" t="str">
        <v>Dimarts</v>
      </c>
      <c r="C75" s="33" t="str">
        <v>Marc Vidal</v>
      </c>
      <c r="D75" s="33" t="str">
        <v>Jordi Bosch</v>
      </c>
      <c r="E75" s="33" t="str">
        <v>f3a</v>
      </c>
      <c r="F75" s="33" t="str">
        <v>2nB</v>
      </c>
      <c r="G75" s="33" t="str">
        <v>No</v>
      </c>
    </row>
    <row r="76" ht="18" customHeight="1">
      <c r="A76" s="34" t="str">
        <v>2026-01-29</v>
      </c>
      <c r="B76" s="34" t="str">
        <v>Dijous</v>
      </c>
      <c r="C76" s="34" t="str">
        <v>Sara Prat</v>
      </c>
      <c r="D76" s="34" t="str">
        <v>Elisabet Roca</v>
      </c>
      <c r="E76" s="34" t="str">
        <v>f1b</v>
      </c>
      <c r="F76" s="34" t="str">
        <v>6eA</v>
      </c>
      <c r="G76" s="34" t="str">
        <v>No</v>
      </c>
    </row>
    <row r="77" ht="18" customHeight="1">
      <c r="A77" s="33" t="str">
        <v>2026-01-29</v>
      </c>
      <c r="B77" s="33" t="str">
        <v>Dijous</v>
      </c>
      <c r="C77" s="33" t="str">
        <v>Sara Prat</v>
      </c>
      <c r="D77" s="33" t="str">
        <v>Elisabet Roca</v>
      </c>
      <c r="E77" s="33" t="str">
        <v>f1a</v>
      </c>
      <c r="F77" s="33" t="str">
        <v>6eA</v>
      </c>
      <c r="G77" s="33" t="str">
        <v>No</v>
      </c>
    </row>
    <row r="78" ht="18" customHeight="1">
      <c r="A78" s="34" t="str">
        <v>2026-01-27</v>
      </c>
      <c r="B78" s="34" t="str">
        <v>Dimarts</v>
      </c>
      <c r="C78" s="34" t="str">
        <v>Arnau Sala</v>
      </c>
      <c r="D78" s="34" t="str">
        <v>Marc Vidal</v>
      </c>
      <c r="E78" s="34" t="str">
        <v>f3a</v>
      </c>
      <c r="F78" s="34" t="str">
        <v>3rB</v>
      </c>
      <c r="G78" s="34" t="str">
        <v>No</v>
      </c>
    </row>
    <row r="79" ht="18" customHeight="1">
      <c r="A79" s="33" t="str">
        <v>2026-01-27</v>
      </c>
      <c r="B79" s="33" t="str">
        <v>Dimarts</v>
      </c>
      <c r="C79" s="33" t="str">
        <v>Arnau Sala</v>
      </c>
      <c r="D79" s="33" t="str">
        <v>Marc Vidal</v>
      </c>
      <c r="E79" s="33" t="str">
        <v>f2a</v>
      </c>
      <c r="F79" s="33" t="str">
        <v>3rB</v>
      </c>
      <c r="G79" s="33" t="str">
        <v>No</v>
      </c>
    </row>
    <row r="80" ht="18" customHeight="1">
      <c r="A80" s="34" t="str">
        <v>2026-01-27</v>
      </c>
      <c r="B80" s="34" t="str">
        <v>Dimarts</v>
      </c>
      <c r="C80" s="34" t="str">
        <v>Arnau Sala</v>
      </c>
      <c r="D80" s="34" t="str">
        <v>Marc Vidal</v>
      </c>
      <c r="E80" s="34" t="str">
        <v>f1b</v>
      </c>
      <c r="F80" s="34" t="str">
        <v>3rB</v>
      </c>
      <c r="G80" s="34" t="str">
        <v>No</v>
      </c>
    </row>
    <row r="81" ht="18" customHeight="1">
      <c r="A81" s="33" t="str">
        <v>2026-01-27</v>
      </c>
      <c r="B81" s="33" t="str">
        <v>Dimarts</v>
      </c>
      <c r="C81" s="33" t="str">
        <v>Arnau Sala</v>
      </c>
      <c r="D81" s="33" t="str">
        <v>Marc Vidal</v>
      </c>
      <c r="E81" s="33" t="str">
        <v>f3b</v>
      </c>
      <c r="F81" s="33" t="str">
        <v>3rB</v>
      </c>
      <c r="G81" s="33" t="str">
        <v>No</v>
      </c>
    </row>
    <row r="82" ht="18" customHeight="1">
      <c r="A82" s="34" t="str">
        <v>2026-01-27</v>
      </c>
      <c r="B82" s="34" t="str">
        <v>Dimarts</v>
      </c>
      <c r="C82" s="34" t="str">
        <v>Arnau Sala</v>
      </c>
      <c r="D82" s="34" t="str">
        <v>Marc Vidal</v>
      </c>
      <c r="E82" s="34" t="str">
        <v>f1a</v>
      </c>
      <c r="F82" s="34" t="str">
        <v>3rB</v>
      </c>
      <c r="G82" s="34" t="str">
        <v>No</v>
      </c>
    </row>
    <row r="83" ht="18" customHeight="1">
      <c r="A83" s="33" t="str">
        <v>2026-01-20</v>
      </c>
      <c r="B83" s="33" t="str">
        <v>Dimarts</v>
      </c>
      <c r="C83" s="33" t="str">
        <v>Gemma Tort</v>
      </c>
      <c r="D83" s="33" t="str">
        <v>Roger Vila</v>
      </c>
      <c r="E83" s="33" t="str">
        <v>f1b</v>
      </c>
      <c r="F83" s="33" t="str">
        <v>4tB</v>
      </c>
      <c r="G83" s="33" t="str">
        <v>No</v>
      </c>
    </row>
    <row r="84" ht="18" customHeight="1">
      <c r="A84" s="34" t="str">
        <v>2026-01-20</v>
      </c>
      <c r="B84" s="34" t="str">
        <v>Dimarts</v>
      </c>
      <c r="C84" s="34" t="str">
        <v>Gemma Tort</v>
      </c>
      <c r="D84" s="34" t="str">
        <v>Roger Vila</v>
      </c>
      <c r="E84" s="34" t="str">
        <v>f2a</v>
      </c>
      <c r="F84" s="34" t="str">
        <v>4tB</v>
      </c>
      <c r="G84" s="34" t="str">
        <v>No</v>
      </c>
    </row>
    <row r="85" ht="18" customHeight="1">
      <c r="A85" s="33" t="str">
        <v>2026-01-20</v>
      </c>
      <c r="B85" s="33" t="str">
        <v>Dimarts</v>
      </c>
      <c r="C85" s="33" t="str">
        <v>Gemma Tort</v>
      </c>
      <c r="D85" s="33" t="str">
        <v>Roger Vila</v>
      </c>
      <c r="E85" s="33" t="str">
        <v>f1a</v>
      </c>
      <c r="F85" s="33" t="str">
        <v>4tB</v>
      </c>
      <c r="G85" s="33" t="str">
        <v>No</v>
      </c>
    </row>
    <row r="86" ht="18" customHeight="1">
      <c r="A86" s="34" t="str">
        <v>2026-01-13</v>
      </c>
      <c r="B86" s="34" t="str">
        <v>Dimarts</v>
      </c>
      <c r="C86" s="34" t="str">
        <v>Nuria Camps</v>
      </c>
      <c r="D86" s="34" t="str">
        <v>Anna Puig</v>
      </c>
      <c r="E86" s="34" t="str">
        <v>f1b</v>
      </c>
      <c r="F86" s="34" t="str">
        <v>3rA</v>
      </c>
      <c r="G86" s="34" t="str">
        <v>No</v>
      </c>
    </row>
    <row r="87" ht="18" customHeight="1">
      <c r="A87" s="33" t="str">
        <v>2026-01-13</v>
      </c>
      <c r="B87" s="33" t="str">
        <v>Dimarts</v>
      </c>
      <c r="C87" s="33" t="str">
        <v>Gemma Tort</v>
      </c>
      <c r="D87" s="33" t="str">
        <v>Anna Puig</v>
      </c>
      <c r="E87" s="33" t="str">
        <v>f5b</v>
      </c>
      <c r="F87" s="33" t="str">
        <v>3rA</v>
      </c>
      <c r="G87" s="33" t="str">
        <v>Sí</v>
      </c>
    </row>
    <row r="88" ht="18" customHeight="1">
      <c r="A88" s="34" t="str">
        <v>2026-01-13</v>
      </c>
      <c r="B88" s="34" t="str">
        <v>Dimarts</v>
      </c>
      <c r="C88" s="34" t="str">
        <v>Gemma Tort</v>
      </c>
      <c r="D88" s="34" t="str">
        <v>Anna Puig</v>
      </c>
      <c r="E88" s="34" t="str">
        <v>f5a</v>
      </c>
      <c r="F88" s="34" t="str">
        <v>3rA</v>
      </c>
      <c r="G88" s="34" t="str">
        <v>Sí</v>
      </c>
    </row>
    <row r="89" ht="18" customHeight="1">
      <c r="A89" s="33" t="str">
        <v>2026-01-13</v>
      </c>
      <c r="B89" s="33" t="str">
        <v>Dimarts</v>
      </c>
      <c r="C89" s="33" t="str">
        <v>Nuria Camps</v>
      </c>
      <c r="D89" s="33" t="str">
        <v>Anna Puig</v>
      </c>
      <c r="E89" s="33" t="str">
        <v>f3b</v>
      </c>
      <c r="F89" s="33" t="str">
        <v>3rA</v>
      </c>
      <c r="G89" s="33" t="str">
        <v>No</v>
      </c>
    </row>
    <row r="90" ht="18" customHeight="1">
      <c r="A90" s="34" t="str">
        <v>2026-01-13</v>
      </c>
      <c r="B90" s="34" t="str">
        <v>Dimarts</v>
      </c>
      <c r="C90" s="34" t="str">
        <v>Nuria Camps</v>
      </c>
      <c r="D90" s="34" t="str">
        <v>Anna Puig</v>
      </c>
      <c r="E90" s="34" t="str">
        <v>f3a</v>
      </c>
      <c r="F90" s="34" t="str">
        <v>3rA</v>
      </c>
      <c r="G90" s="34" t="str">
        <v>No</v>
      </c>
    </row>
    <row r="91" ht="18" customHeight="1">
      <c r="A91" s="33" t="str">
        <v>2026-01-13</v>
      </c>
      <c r="B91" s="33" t="str">
        <v>Dimarts</v>
      </c>
      <c r="C91" s="33" t="str">
        <v>Nuria Camps</v>
      </c>
      <c r="D91" s="33" t="str">
        <v>Anna Puig</v>
      </c>
      <c r="E91" s="33" t="str">
        <v>f2a</v>
      </c>
      <c r="F91" s="33" t="str">
        <v>3rA</v>
      </c>
      <c r="G91" s="33" t="str">
        <v>No</v>
      </c>
    </row>
    <row r="92" ht="18" customHeight="1">
      <c r="A92" s="34" t="str">
        <v>2026-01-13</v>
      </c>
      <c r="B92" s="34" t="str">
        <v>Dimarts</v>
      </c>
      <c r="C92" s="34" t="str">
        <v>Nuria Camps</v>
      </c>
      <c r="D92" s="34" t="str">
        <v>Anna Puig</v>
      </c>
      <c r="E92" s="34" t="str">
        <v>f1a</v>
      </c>
      <c r="F92" s="34" t="str">
        <v>3rA</v>
      </c>
      <c r="G92" s="34" t="str">
        <v>No</v>
      </c>
    </row>
    <row r="93" ht="18" customHeight="1">
      <c r="A93" s="33" t="str">
        <v>2025-12-16</v>
      </c>
      <c r="B93" s="33" t="str">
        <v>Dimarts</v>
      </c>
      <c r="C93" s="33" t="str">
        <v>Jordi Bosch</v>
      </c>
      <c r="D93" s="33" t="str">
        <v>Pau Esteve</v>
      </c>
      <c r="E93" s="33" t="str">
        <v>f1b</v>
      </c>
      <c r="F93" s="33" t="str">
        <v>Angles</v>
      </c>
      <c r="G93" s="33" t="str">
        <v>No</v>
      </c>
    </row>
    <row r="94" ht="18" customHeight="1">
      <c r="A94" s="34" t="str">
        <v>2025-12-16</v>
      </c>
      <c r="B94" s="34" t="str">
        <v>Dimarts</v>
      </c>
      <c r="C94" s="34" t="str">
        <v>Marc Vidal</v>
      </c>
      <c r="D94" s="34" t="str">
        <v>Pau Esteve</v>
      </c>
      <c r="E94" s="34" t="str">
        <v>f2a</v>
      </c>
      <c r="F94" s="34" t="str">
        <v>Angles</v>
      </c>
      <c r="G94" s="34" t="str">
        <v>No</v>
      </c>
    </row>
    <row r="95" ht="18" customHeight="1">
      <c r="A95" s="33" t="str">
        <v>2025-12-16</v>
      </c>
      <c r="B95" s="33" t="str">
        <v>Dimarts</v>
      </c>
      <c r="C95" s="33" t="str">
        <v>Jordi Bosch</v>
      </c>
      <c r="D95" s="33" t="str">
        <v>Pau Esteve</v>
      </c>
      <c r="E95" s="33" t="str">
        <v>f1a</v>
      </c>
      <c r="F95" s="33" t="str">
        <v>Angles</v>
      </c>
      <c r="G95" s="33" t="str">
        <v>No</v>
      </c>
    </row>
    <row r="96" ht="18" customHeight="1">
      <c r="A96" s="34" t="str">
        <v>2025-12-10</v>
      </c>
      <c r="B96" s="34" t="str">
        <v>Dimecres</v>
      </c>
      <c r="C96" s="34" t="str">
        <v>Elisabet Roca</v>
      </c>
      <c r="D96" s="34" t="str">
        <v>Arnau Sala</v>
      </c>
      <c r="E96" s="34" t="str">
        <v>f1b</v>
      </c>
      <c r="F96" s="34" t="str">
        <v>6eB</v>
      </c>
      <c r="G96" s="34" t="str">
        <v>No</v>
      </c>
    </row>
    <row r="97" ht="18" customHeight="1">
      <c r="A97" s="33" t="str">
        <v>2025-12-10</v>
      </c>
      <c r="B97" s="33" t="str">
        <v>Dimecres</v>
      </c>
      <c r="C97" s="33" t="str">
        <v>Elisabet Roca</v>
      </c>
      <c r="D97" s="33" t="str">
        <v>Arnau Sala</v>
      </c>
      <c r="E97" s="33" t="str">
        <v>f1a</v>
      </c>
      <c r="F97" s="33" t="str">
        <v>6eB</v>
      </c>
      <c r="G97" s="33" t="str">
        <v>No</v>
      </c>
    </row>
    <row r="98" ht="18" customHeight="1">
      <c r="A98" s="34" t="str">
        <v>2025-12-02</v>
      </c>
      <c r="B98" s="34" t="str">
        <v>Dimarts</v>
      </c>
      <c r="C98" s="34" t="str">
        <v>Laia Ros</v>
      </c>
      <c r="D98" s="34" t="str">
        <v>Carla Font</v>
      </c>
      <c r="E98" s="34" t="str">
        <v>f1b</v>
      </c>
      <c r="F98" s="34" t="str">
        <v>2nA</v>
      </c>
      <c r="G98" s="34" t="str">
        <v>No</v>
      </c>
    </row>
    <row r="99" ht="18" customHeight="1">
      <c r="A99" s="33" t="str">
        <v>2025-12-02</v>
      </c>
      <c r="B99" s="33" t="str">
        <v>Dimarts</v>
      </c>
      <c r="C99" s="33" t="str">
        <v>Anna Puig</v>
      </c>
      <c r="D99" s="33" t="str">
        <v>Carla Font</v>
      </c>
      <c r="E99" s="33" t="str">
        <v>f3b</v>
      </c>
      <c r="F99" s="33" t="str">
        <v>2nA</v>
      </c>
      <c r="G99" s="33" t="str">
        <v>Sí</v>
      </c>
    </row>
    <row r="100" ht="18" customHeight="1">
      <c r="A100" s="34" t="str">
        <v>2025-12-02</v>
      </c>
      <c r="B100" s="34" t="str">
        <v>Dimarts</v>
      </c>
      <c r="C100" s="34" t="str">
        <v>Anna Puig</v>
      </c>
      <c r="D100" s="34" t="str">
        <v>Carla Font</v>
      </c>
      <c r="E100" s="34" t="str">
        <v>f3a</v>
      </c>
      <c r="F100" s="34" t="str">
        <v>2nA</v>
      </c>
      <c r="G100" s="34" t="str">
        <v>Sí</v>
      </c>
    </row>
    <row r="101" ht="18" customHeight="1">
      <c r="A101" s="33" t="str">
        <v>2025-12-02</v>
      </c>
      <c r="B101" s="33" t="str">
        <v>Dimarts</v>
      </c>
      <c r="C101" s="33" t="str">
        <v>Laia Ros</v>
      </c>
      <c r="D101" s="33" t="str">
        <v>Carla Font</v>
      </c>
      <c r="E101" s="33" t="str">
        <v>f2a</v>
      </c>
      <c r="F101" s="33" t="str">
        <v>2nA</v>
      </c>
      <c r="G101" s="33" t="str">
        <v>No</v>
      </c>
    </row>
    <row r="102" ht="18" customHeight="1">
      <c r="A102" s="34" t="str">
        <v>2025-12-02</v>
      </c>
      <c r="B102" s="34" t="str">
        <v>Dimarts</v>
      </c>
      <c r="C102" s="34" t="str">
        <v>Laia Ros</v>
      </c>
      <c r="D102" s="34" t="str">
        <v>Carla Font</v>
      </c>
      <c r="E102" s="34" t="str">
        <v>f1a</v>
      </c>
      <c r="F102" s="34" t="str">
        <v>2nA</v>
      </c>
      <c r="G102" s="34" t="str">
        <v>No</v>
      </c>
    </row>
    <row r="103" ht="18" customHeight="1">
      <c r="A103" s="33" t="str">
        <v>2025-11-26</v>
      </c>
      <c r="B103" s="33" t="str">
        <v>Dimecres</v>
      </c>
      <c r="C103" s="33" t="str">
        <v>Roger Vila</v>
      </c>
      <c r="D103" s="33" t="str">
        <v>David Coma</v>
      </c>
      <c r="E103" s="33" t="str">
        <v>f1a</v>
      </c>
      <c r="F103" s="33" t="str">
        <v>5eB</v>
      </c>
      <c r="G103" s="33" t="str">
        <v>No</v>
      </c>
    </row>
    <row r="104" ht="18" customHeight="1">
      <c r="A104" s="34" t="str">
        <v>2025-11-26</v>
      </c>
      <c r="B104" s="34" t="str">
        <v>Dimecres</v>
      </c>
      <c r="C104" s="34" t="str">
        <v>Roger Vila</v>
      </c>
      <c r="D104" s="34" t="str">
        <v>David Coma</v>
      </c>
      <c r="E104" s="34" t="str">
        <v>f3a</v>
      </c>
      <c r="F104" s="34" t="str">
        <v>5eB</v>
      </c>
      <c r="G104" s="34" t="str">
        <v>No</v>
      </c>
    </row>
  </sheetData>
  <mergeCells count="2">
    <mergeCell ref="A1:F1"/>
    <mergeCell ref="A2:G2"/>
  </mergeCells>
  <ignoredErrors>
    <ignoredError numberStoredAsText="1" sqref="A1:G10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40.83203125" customWidth="1"/>
    <col min="2" max="2" width="10.83203125" customWidth="1"/>
    <col min="3" max="3" width="13.83203125" customWidth="1"/>
    <col min="4" max="4" width="19.83203125" customWidth="1"/>
    <col min="5" max="5" width="33.83203125" customWidth="1"/>
    <col min="6" max="6" width="10.83203125" customWidth="1"/>
    <col min="7" max="7" width="12.83203125" customWidth="1"/>
    <col min="8" max="8" width="24.83203125" customWidth="1"/>
  </cols>
  <sheetData>
    <row r="1" ht="44" customHeight="1">
      <c r="A1" s="36" t="str">
        <v>Escola Demo - HorariaPro</v>
      </c>
      <c r="B1" s="36" t="str">
        <v/>
      </c>
      <c r="C1" s="36" t="str">
        <v/>
      </c>
      <c r="D1" s="36" t="str">
        <v/>
      </c>
      <c r="E1" s="36" t="str">
        <v/>
      </c>
      <c r="F1" s="36" t="str">
        <v/>
      </c>
      <c r="G1" s="36" t="str">
        <v/>
      </c>
      <c r="H1" s="36" t="str">
        <v>Generat per HorariaPro</v>
      </c>
    </row>
    <row r="2" ht="22" customHeight="1">
      <c r="A2" s="6" t="str">
        <v>Curs 2025–2026 · Octubre 2025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6" customHeight="1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 ht="24" customHeight="1">
      <c r="A4" s="37" t="str">
        <v>Octubre 2025  ·  5 abs. · 0 cob. · 5 docents afectats</v>
      </c>
      <c r="B4" s="37" t="str">
        <v/>
      </c>
      <c r="C4" s="37" t="str">
        <v/>
      </c>
      <c r="D4" s="37" t="str">
        <v/>
      </c>
      <c r="E4" s="37" t="str">
        <v/>
      </c>
      <c r="F4" s="37" t="str">
        <v/>
      </c>
      <c r="G4" s="37" t="str">
        <v/>
      </c>
      <c r="H4" s="37" t="str">
        <v/>
      </c>
    </row>
    <row r="5" ht="6" customHeight="1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8" t="str">
        <v>▸ ABSÈNCIES</v>
      </c>
      <c r="B6" s="38" t="str">
        <v/>
      </c>
      <c r="C6" s="38" t="str">
        <v/>
      </c>
      <c r="D6" s="38" t="str">
        <v/>
      </c>
      <c r="E6" s="38" t="str">
        <v/>
      </c>
      <c r="F6" s="38" t="str">
        <v/>
      </c>
      <c r="G6" s="38" t="str">
        <v/>
      </c>
      <c r="H6" s="38" t="str">
        <v/>
      </c>
    </row>
    <row r="7">
      <c r="A7" s="39" t="str">
        <v>Data</v>
      </c>
      <c r="B7" s="39" t="str">
        <v>Dia</v>
      </c>
      <c r="C7" s="39" t="str">
        <v>Docent</v>
      </c>
      <c r="D7" s="39" t="str">
        <v>Motiu</v>
      </c>
      <c r="E7" s="39" t="str">
        <v>Franges</v>
      </c>
      <c r="F7" s="39" t="str">
        <v>Estat</v>
      </c>
      <c r="G7" s="39" t="str">
        <v>Cobert per</v>
      </c>
      <c r="H7" s="39" t="str">
        <v>Núm. cob.</v>
      </c>
    </row>
    <row r="8">
      <c r="A8" s="33" t="str">
        <v>2025-10-06</v>
      </c>
      <c r="B8" s="33" t="str">
        <v>Dilluns</v>
      </c>
      <c r="C8" s="33" t="str">
        <v>Anna Puig</v>
      </c>
      <c r="D8" s="33" t="str">
        <v>Malaltia</v>
      </c>
      <c r="E8" s="33" t="str">
        <f>f1b</f>
        <v>f1a</v>
      </c>
      <c r="F8" s="33" t="str">
        <v>Arxivat</v>
      </c>
      <c r="G8" s="33" t="str">
        <v/>
      </c>
      <c r="H8" s="33">
        <v>0</v>
      </c>
    </row>
    <row r="9">
      <c r="A9" s="34" t="str">
        <v>2025-10-14</v>
      </c>
      <c r="B9" s="34" t="str">
        <v>Dimarts</v>
      </c>
      <c r="C9" s="34" t="str">
        <v>Jordi Bosch</v>
      </c>
      <c r="D9" s="34" t="str">
        <v>Visita medica</v>
      </c>
      <c r="E9" s="34" t="str">
        <f>f1b</f>
        <v>f1a</v>
      </c>
      <c r="F9" s="34" t="str">
        <v>Arxivat</v>
      </c>
      <c r="G9" s="34" t="str">
        <v/>
      </c>
      <c r="H9" s="34">
        <v>0</v>
      </c>
    </row>
    <row r="10">
      <c r="A10" s="33" t="str">
        <v>2025-10-21</v>
      </c>
      <c r="B10" s="33" t="str">
        <v>Dimarts</v>
      </c>
      <c r="C10" s="33" t="str">
        <v>Pere Mas</v>
      </c>
      <c r="D10" s="33" t="str">
        <v>Malaltia</v>
      </c>
      <c r="E10" s="33" t="str">
        <f>f1b</f>
        <v>f1a</v>
      </c>
      <c r="F10" s="33" t="str">
        <v>Arxivat</v>
      </c>
      <c r="G10" s="33" t="str">
        <v/>
      </c>
      <c r="H10" s="33">
        <v>0</v>
      </c>
    </row>
    <row r="11">
      <c r="A11" s="34" t="str">
        <v>2025-10-28</v>
      </c>
      <c r="B11" s="34" t="str">
        <v>Dimarts</v>
      </c>
      <c r="C11" s="34" t="str">
        <v>Toni Jove</v>
      </c>
      <c r="D11" s="34" t="str">
        <v>Assumpte personal</v>
      </c>
      <c r="E11" s="34" t="str">
        <f>f1b</f>
        <v>f1a</v>
      </c>
      <c r="F11" s="34" t="str">
        <v>Arxivat</v>
      </c>
      <c r="G11" s="34" t="str">
        <v/>
      </c>
      <c r="H11" s="34">
        <v>0</v>
      </c>
    </row>
    <row r="12">
      <c r="A12" s="33" t="str">
        <v>2025-10-30</v>
      </c>
      <c r="B12" s="33" t="str">
        <v>Dijous</v>
      </c>
      <c r="C12" s="33" t="str">
        <v>Gemma Tort</v>
      </c>
      <c r="D12" s="33" t="str">
        <v>Malaltia</v>
      </c>
      <c r="E12" s="33" t="str">
        <f>f1b</f>
        <v>f1a</v>
      </c>
      <c r="F12" s="33" t="str">
        <v>Arxivat</v>
      </c>
      <c r="G12" s="33" t="str">
        <v/>
      </c>
      <c r="H12" s="33">
        <v>0</v>
      </c>
    </row>
  </sheetData>
  <mergeCells count="3">
    <mergeCell ref="A1:H1"/>
    <mergeCell ref="A2:H2"/>
    <mergeCell ref="A4:H4"/>
  </mergeCells>
  <ignoredErrors>
    <ignoredError numberStoredAsText="1" sqref="A1:H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40.83203125" customWidth="1"/>
    <col min="2" max="2" width="10.83203125" customWidth="1"/>
    <col min="3" max="3" width="16.83203125" customWidth="1"/>
    <col min="4" max="4" width="24.83203125" customWidth="1"/>
    <col min="5" max="5" width="40.83203125" customWidth="1"/>
    <col min="6" max="6" width="10.83203125" customWidth="1"/>
    <col min="7" max="7" width="12.83203125" customWidth="1"/>
    <col min="8" max="8" width="24.83203125" customWidth="1"/>
  </cols>
  <sheetData>
    <row r="1" ht="44" customHeight="1">
      <c r="A1" s="36" t="str">
        <v>Escola Demo - HorariaPro</v>
      </c>
      <c r="B1" s="36" t="str">
        <v/>
      </c>
      <c r="C1" s="36" t="str">
        <v/>
      </c>
      <c r="D1" s="36" t="str">
        <v/>
      </c>
      <c r="E1" s="36" t="str">
        <v/>
      </c>
      <c r="F1" s="36" t="str">
        <v/>
      </c>
      <c r="G1" s="36" t="str">
        <v/>
      </c>
      <c r="H1" s="36" t="str">
        <v>Generat per HorariaPro</v>
      </c>
    </row>
    <row r="2" ht="22" customHeight="1">
      <c r="A2" s="6" t="str">
        <v>Curs 2025–2026 · Novembre 2025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6" customHeight="1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 ht="24" customHeight="1">
      <c r="A4" s="37" t="str">
        <v>Novembre 2025  ·  4 abs. · 2 cob. · 4 docents afectats</v>
      </c>
      <c r="B4" s="37" t="str">
        <v/>
      </c>
      <c r="C4" s="37" t="str">
        <v/>
      </c>
      <c r="D4" s="37" t="str">
        <v/>
      </c>
      <c r="E4" s="37" t="str">
        <v/>
      </c>
      <c r="F4" s="37" t="str">
        <v/>
      </c>
      <c r="G4" s="37" t="str">
        <v/>
      </c>
      <c r="H4" s="37" t="str">
        <v/>
      </c>
    </row>
    <row r="5" ht="6" customHeight="1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8" t="str">
        <v>▸ ABSÈNCIES</v>
      </c>
      <c r="B6" s="38" t="str">
        <v/>
      </c>
      <c r="C6" s="38" t="str">
        <v/>
      </c>
      <c r="D6" s="38" t="str">
        <v/>
      </c>
      <c r="E6" s="38" t="str">
        <v/>
      </c>
      <c r="F6" s="38" t="str">
        <v/>
      </c>
      <c r="G6" s="38" t="str">
        <v/>
      </c>
      <c r="H6" s="38" t="str">
        <v/>
      </c>
    </row>
    <row r="7">
      <c r="A7" s="39" t="str">
        <v>Data</v>
      </c>
      <c r="B7" s="39" t="str">
        <v>Dia</v>
      </c>
      <c r="C7" s="39" t="str">
        <v>Docent</v>
      </c>
      <c r="D7" s="39" t="str">
        <v>Motiu</v>
      </c>
      <c r="E7" s="39" t="str">
        <v>Franges</v>
      </c>
      <c r="F7" s="39" t="str">
        <v>Estat</v>
      </c>
      <c r="G7" s="39" t="str">
        <v>Cobert per</v>
      </c>
      <c r="H7" s="39" t="str">
        <v>Núm. cob.</v>
      </c>
    </row>
    <row r="8">
      <c r="A8" s="33" t="str">
        <v>2025-11-04</v>
      </c>
      <c r="B8" s="33" t="str">
        <v>Dimarts</v>
      </c>
      <c r="C8" s="33" t="str">
        <v>Sara Prat</v>
      </c>
      <c r="D8" s="33" t="str">
        <v>Malaltia</v>
      </c>
      <c r="E8" s="33" t="str">
        <f>f1b</f>
        <v>f1a</v>
      </c>
      <c r="F8" s="33" t="str">
        <v>Arxivat</v>
      </c>
      <c r="G8" s="33" t="str">
        <v/>
      </c>
      <c r="H8" s="33">
        <v>0</v>
      </c>
    </row>
    <row r="9">
      <c r="A9" s="34" t="str">
        <v>2025-11-12</v>
      </c>
      <c r="B9" s="34" t="str">
        <v>Dimecres</v>
      </c>
      <c r="C9" s="34" t="str">
        <v>Marc Vidal</v>
      </c>
      <c r="D9" s="34" t="str">
        <v>Permis matrimoni propi</v>
      </c>
      <c r="E9" s="34" t="str">
        <f>f1b</f>
        <v>f1a</v>
      </c>
      <c r="F9" s="34" t="str">
        <v>Arxivat</v>
      </c>
      <c r="G9" s="34" t="str">
        <v/>
      </c>
      <c r="H9" s="34">
        <v>0</v>
      </c>
    </row>
    <row r="10">
      <c r="A10" s="33" t="str">
        <v>2025-11-19</v>
      </c>
      <c r="B10" s="33" t="str">
        <v>Dimecres</v>
      </c>
      <c r="C10" s="33" t="str">
        <v>Laia Ros</v>
      </c>
      <c r="D10" s="33" t="str">
        <v>Malaltia</v>
      </c>
      <c r="E10" s="33" t="str">
        <f>f1b</f>
        <v>f1a</v>
      </c>
      <c r="F10" s="33" t="str">
        <v>Arxivat</v>
      </c>
      <c r="G10" s="33" t="str">
        <v/>
      </c>
      <c r="H10" s="33">
        <v>0</v>
      </c>
    </row>
    <row r="11">
      <c r="A11" s="34" t="str">
        <v>2025-11-26</v>
      </c>
      <c r="B11" s="34" t="str">
        <v>Dimecres</v>
      </c>
      <c r="C11" s="34" t="str">
        <v>David Coma</v>
      </c>
      <c r="D11" s="34" t="str">
        <v>Malaltia</v>
      </c>
      <c r="E11" s="34" t="str">
        <f>f1b</f>
        <v>f1a</v>
      </c>
      <c r="F11" s="34" t="str">
        <v>Arxivat</v>
      </c>
      <c r="G11" s="34" t="str">
        <v>Roger Vila</v>
      </c>
      <c r="H11" s="34">
        <v>2</v>
      </c>
    </row>
    <row r="12">
      <c r="A12" s="33" t="str">
        <v/>
      </c>
      <c r="B12" s="33" t="str">
        <v/>
      </c>
      <c r="C12" s="33" t="str">
        <v/>
      </c>
      <c r="D12" s="33" t="str">
        <v/>
      </c>
      <c r="E12" s="33" t="str">
        <v/>
      </c>
      <c r="F12" s="33" t="str">
        <v/>
      </c>
      <c r="G12" s="33" t="str">
        <v/>
      </c>
      <c r="H12" s="33" t="str">
        <v/>
      </c>
    </row>
    <row r="13">
      <c r="A13" s="40" t="str">
        <v>▸ COBERTURES</v>
      </c>
      <c r="B13" s="40" t="str">
        <v/>
      </c>
      <c r="C13" s="40" t="str">
        <v/>
      </c>
      <c r="D13" s="40" t="str">
        <v/>
      </c>
      <c r="E13" s="40" t="str">
        <v/>
      </c>
      <c r="F13" s="40" t="str">
        <v/>
      </c>
      <c r="G13" s="40" t="str">
        <v/>
      </c>
      <c r="H13" s="40" t="str">
        <v/>
      </c>
    </row>
    <row r="14">
      <c r="A14" s="41" t="str">
        <v>Data</v>
      </c>
      <c r="B14" s="41" t="str">
        <v>Dia</v>
      </c>
      <c r="C14" s="41" t="str">
        <v>Docent cobrint</v>
      </c>
      <c r="D14" s="41" t="str">
        <v>Docent absent</v>
      </c>
      <c r="E14" s="41" t="str">
        <v>Franja</v>
      </c>
      <c r="F14" s="41" t="str">
        <v>Grup</v>
      </c>
      <c r="G14" s="41" t="str">
        <v>TP afectat</v>
      </c>
      <c r="H14" s="41" t="str">
        <v/>
      </c>
    </row>
    <row r="15">
      <c r="A15" s="34" t="str">
        <v>2025-11-26</v>
      </c>
      <c r="B15" s="34" t="str">
        <v>Dimecres</v>
      </c>
      <c r="C15" s="34" t="str">
        <v>Roger Vila</v>
      </c>
      <c r="D15" s="34" t="str">
        <v>David Coma</v>
      </c>
      <c r="E15" s="34" t="str">
        <v>f1a</v>
      </c>
      <c r="F15" s="34" t="str">
        <v>5eB</v>
      </c>
      <c r="G15" s="34" t="str">
        <v>No</v>
      </c>
      <c r="H15" s="34" t="str">
        <v/>
      </c>
    </row>
    <row r="16">
      <c r="A16" s="33" t="str">
        <v>2025-11-26</v>
      </c>
      <c r="B16" s="33" t="str">
        <v>Dimecres</v>
      </c>
      <c r="C16" s="33" t="str">
        <v>Roger Vila</v>
      </c>
      <c r="D16" s="33" t="str">
        <v>David Coma</v>
      </c>
      <c r="E16" s="33" t="str">
        <v>f3a</v>
      </c>
      <c r="F16" s="33" t="str">
        <v>5eB</v>
      </c>
      <c r="G16" s="33" t="str">
        <v>No</v>
      </c>
      <c r="H16" s="33" t="str">
        <v/>
      </c>
    </row>
  </sheetData>
  <mergeCells count="3">
    <mergeCell ref="A1:H1"/>
    <mergeCell ref="A2:H2"/>
    <mergeCell ref="A4:H4"/>
  </mergeCells>
  <ignoredErrors>
    <ignoredError numberStoredAsText="1" sqref="A1:H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40.83203125" customWidth="1"/>
    <col min="2" max="2" width="10.83203125" customWidth="1"/>
    <col min="3" max="3" width="16.83203125" customWidth="1"/>
    <col min="4" max="4" width="15.83203125" customWidth="1"/>
    <col min="5" max="5" width="33.83203125" customWidth="1"/>
    <col min="6" max="6" width="10.83203125" customWidth="1"/>
    <col min="7" max="7" width="25.83203125" customWidth="1"/>
    <col min="8" max="8" width="24.83203125" customWidth="1"/>
  </cols>
  <sheetData>
    <row r="1" ht="44" customHeight="1">
      <c r="A1" s="36" t="str">
        <v>Escola Demo - HorariaPro</v>
      </c>
      <c r="B1" s="36" t="str">
        <v/>
      </c>
      <c r="C1" s="36" t="str">
        <v/>
      </c>
      <c r="D1" s="36" t="str">
        <v/>
      </c>
      <c r="E1" s="36" t="str">
        <v/>
      </c>
      <c r="F1" s="36" t="str">
        <v/>
      </c>
      <c r="G1" s="36" t="str">
        <v/>
      </c>
      <c r="H1" s="36" t="str">
        <v>Generat per HorariaPro</v>
      </c>
    </row>
    <row r="2" ht="22" customHeight="1">
      <c r="A2" s="6" t="str">
        <v>Curs 2025–2026 · Desembre 2025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6" customHeight="1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 ht="24" customHeight="1">
      <c r="A4" s="37" t="str">
        <v>Desembre 2025  ·  3 abs. · 10 cob. · 3 docents afectats</v>
      </c>
      <c r="B4" s="37" t="str">
        <v/>
      </c>
      <c r="C4" s="37" t="str">
        <v/>
      </c>
      <c r="D4" s="37" t="str">
        <v/>
      </c>
      <c r="E4" s="37" t="str">
        <v/>
      </c>
      <c r="F4" s="37" t="str">
        <v/>
      </c>
      <c r="G4" s="37" t="str">
        <v/>
      </c>
      <c r="H4" s="37" t="str">
        <v/>
      </c>
    </row>
    <row r="5" ht="6" customHeight="1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8" t="str">
        <v>▸ ABSÈNCIES</v>
      </c>
      <c r="B6" s="38" t="str">
        <v/>
      </c>
      <c r="C6" s="38" t="str">
        <v/>
      </c>
      <c r="D6" s="38" t="str">
        <v/>
      </c>
      <c r="E6" s="38" t="str">
        <v/>
      </c>
      <c r="F6" s="38" t="str">
        <v/>
      </c>
      <c r="G6" s="38" t="str">
        <v/>
      </c>
      <c r="H6" s="38" t="str">
        <v/>
      </c>
    </row>
    <row r="7">
      <c r="A7" s="39" t="str">
        <v>Data</v>
      </c>
      <c r="B7" s="39" t="str">
        <v>Dia</v>
      </c>
      <c r="C7" s="39" t="str">
        <v>Docent</v>
      </c>
      <c r="D7" s="39" t="str">
        <v>Motiu</v>
      </c>
      <c r="E7" s="39" t="str">
        <v>Franges</v>
      </c>
      <c r="F7" s="39" t="str">
        <v>Estat</v>
      </c>
      <c r="G7" s="39" t="str">
        <v>Cobert per</v>
      </c>
      <c r="H7" s="39" t="str">
        <v>Núm. cob.</v>
      </c>
    </row>
    <row r="8">
      <c r="A8" s="33" t="str">
        <v>2025-12-02</v>
      </c>
      <c r="B8" s="33" t="str">
        <v>Dimarts</v>
      </c>
      <c r="C8" s="33" t="str">
        <v>Carla Font</v>
      </c>
      <c r="D8" s="33" t="str">
        <v>Malaltia</v>
      </c>
      <c r="E8" s="33" t="str">
        <f>f1b</f>
        <v>f1a</v>
      </c>
      <c r="F8" s="33" t="str">
        <v>Arxivat</v>
      </c>
      <c r="G8" s="33" t="str">
        <v>Laia Ros; Anna Puig</v>
      </c>
      <c r="H8" s="33">
        <v>5</v>
      </c>
    </row>
    <row r="9">
      <c r="A9" s="34" t="str">
        <v>2025-12-10</v>
      </c>
      <c r="B9" s="34" t="str">
        <v>Dimecres</v>
      </c>
      <c r="C9" s="34" t="str">
        <v>Arnau Sala</v>
      </c>
      <c r="D9" s="34" t="str">
        <v>Visita medica</v>
      </c>
      <c r="E9" s="34" t="str">
        <f>f1b</f>
        <v>f1a</v>
      </c>
      <c r="F9" s="34" t="str">
        <v>Arxivat</v>
      </c>
      <c r="G9" s="34" t="str">
        <v>Elisabet Roca</v>
      </c>
      <c r="H9" s="34">
        <v>2</v>
      </c>
    </row>
    <row r="10">
      <c r="A10" s="33" t="str">
        <v>2025-12-16</v>
      </c>
      <c r="B10" s="33" t="str">
        <v>Dimarts</v>
      </c>
      <c r="C10" s="33" t="str">
        <v>Pau Esteve</v>
      </c>
      <c r="D10" s="33" t="str">
        <v>Malaltia</v>
      </c>
      <c r="E10" s="33" t="str">
        <f>f1b</f>
        <v>f1a</v>
      </c>
      <c r="F10" s="33" t="str">
        <v>Arxivat</v>
      </c>
      <c r="G10" s="33" t="str">
        <v>Jordi Bosch; Marc Vidal</v>
      </c>
      <c r="H10" s="33">
        <v>3</v>
      </c>
    </row>
    <row r="11">
      <c r="A11" s="34" t="str">
        <v/>
      </c>
      <c r="B11" s="34" t="str">
        <v/>
      </c>
      <c r="C11" s="34" t="str">
        <v/>
      </c>
      <c r="D11" s="34" t="str">
        <v/>
      </c>
      <c r="E11" s="34" t="str">
        <v/>
      </c>
      <c r="F11" s="34" t="str">
        <v/>
      </c>
      <c r="G11" s="34" t="str">
        <v/>
      </c>
      <c r="H11" s="34" t="str">
        <v/>
      </c>
    </row>
    <row r="12">
      <c r="A12" s="40" t="str">
        <v>▸ COBERTURES</v>
      </c>
      <c r="B12" s="40" t="str">
        <v/>
      </c>
      <c r="C12" s="40" t="str">
        <v/>
      </c>
      <c r="D12" s="40" t="str">
        <v/>
      </c>
      <c r="E12" s="40" t="str">
        <v/>
      </c>
      <c r="F12" s="40" t="str">
        <v/>
      </c>
      <c r="G12" s="40" t="str">
        <v/>
      </c>
      <c r="H12" s="40" t="str">
        <v/>
      </c>
    </row>
    <row r="13">
      <c r="A13" s="41" t="str">
        <v>Data</v>
      </c>
      <c r="B13" s="41" t="str">
        <v>Dia</v>
      </c>
      <c r="C13" s="41" t="str">
        <v>Docent cobrint</v>
      </c>
      <c r="D13" s="41" t="str">
        <v>Docent absent</v>
      </c>
      <c r="E13" s="41" t="str">
        <v>Franja</v>
      </c>
      <c r="F13" s="41" t="str">
        <v>Grup</v>
      </c>
      <c r="G13" s="41" t="str">
        <v>TP afectat</v>
      </c>
      <c r="H13" s="41" t="str">
        <v/>
      </c>
    </row>
    <row r="14">
      <c r="A14" s="33" t="str">
        <v>2025-12-02</v>
      </c>
      <c r="B14" s="33" t="str">
        <v>Dimarts</v>
      </c>
      <c r="C14" s="33" t="str">
        <v>Laia Ros</v>
      </c>
      <c r="D14" s="33" t="str">
        <v>Carla Font</v>
      </c>
      <c r="E14" s="33" t="str">
        <v>f1b</v>
      </c>
      <c r="F14" s="33" t="str">
        <v>2nA</v>
      </c>
      <c r="G14" s="33" t="str">
        <v>No</v>
      </c>
      <c r="H14" s="33" t="str">
        <v/>
      </c>
    </row>
    <row r="15">
      <c r="A15" s="34" t="str">
        <v>2025-12-02</v>
      </c>
      <c r="B15" s="34" t="str">
        <v>Dimarts</v>
      </c>
      <c r="C15" s="34" t="str">
        <v>Anna Puig</v>
      </c>
      <c r="D15" s="34" t="str">
        <v>Carla Font</v>
      </c>
      <c r="E15" s="34" t="str">
        <v>f3b</v>
      </c>
      <c r="F15" s="34" t="str">
        <v>2nA</v>
      </c>
      <c r="G15" s="34" t="str">
        <v>Sí</v>
      </c>
      <c r="H15" s="34" t="str">
        <v/>
      </c>
    </row>
    <row r="16">
      <c r="A16" s="33" t="str">
        <v>2025-12-02</v>
      </c>
      <c r="B16" s="33" t="str">
        <v>Dimarts</v>
      </c>
      <c r="C16" s="33" t="str">
        <v>Anna Puig</v>
      </c>
      <c r="D16" s="33" t="str">
        <v>Carla Font</v>
      </c>
      <c r="E16" s="33" t="str">
        <v>f3a</v>
      </c>
      <c r="F16" s="33" t="str">
        <v>2nA</v>
      </c>
      <c r="G16" s="33" t="str">
        <v>Sí</v>
      </c>
      <c r="H16" s="33" t="str">
        <v/>
      </c>
    </row>
    <row r="17">
      <c r="A17" s="34" t="str">
        <v>2025-12-02</v>
      </c>
      <c r="B17" s="34" t="str">
        <v>Dimarts</v>
      </c>
      <c r="C17" s="34" t="str">
        <v>Laia Ros</v>
      </c>
      <c r="D17" s="34" t="str">
        <v>Carla Font</v>
      </c>
      <c r="E17" s="34" t="str">
        <v>f2a</v>
      </c>
      <c r="F17" s="34" t="str">
        <v>2nA</v>
      </c>
      <c r="G17" s="34" t="str">
        <v>No</v>
      </c>
      <c r="H17" s="34" t="str">
        <v/>
      </c>
    </row>
    <row r="18">
      <c r="A18" s="33" t="str">
        <v>2025-12-02</v>
      </c>
      <c r="B18" s="33" t="str">
        <v>Dimarts</v>
      </c>
      <c r="C18" s="33" t="str">
        <v>Laia Ros</v>
      </c>
      <c r="D18" s="33" t="str">
        <v>Carla Font</v>
      </c>
      <c r="E18" s="33" t="str">
        <v>f1a</v>
      </c>
      <c r="F18" s="33" t="str">
        <v>2nA</v>
      </c>
      <c r="G18" s="33" t="str">
        <v>No</v>
      </c>
      <c r="H18" s="33" t="str">
        <v/>
      </c>
    </row>
    <row r="19">
      <c r="A19" s="34" t="str">
        <v>2025-12-10</v>
      </c>
      <c r="B19" s="34" t="str">
        <v>Dimecres</v>
      </c>
      <c r="C19" s="34" t="str">
        <v>Elisabet Roca</v>
      </c>
      <c r="D19" s="34" t="str">
        <v>Arnau Sala</v>
      </c>
      <c r="E19" s="34" t="str">
        <v>f1b</v>
      </c>
      <c r="F19" s="34" t="str">
        <v>6eB</v>
      </c>
      <c r="G19" s="34" t="str">
        <v>No</v>
      </c>
      <c r="H19" s="34" t="str">
        <v/>
      </c>
    </row>
    <row r="20">
      <c r="A20" s="33" t="str">
        <v>2025-12-10</v>
      </c>
      <c r="B20" s="33" t="str">
        <v>Dimecres</v>
      </c>
      <c r="C20" s="33" t="str">
        <v>Elisabet Roca</v>
      </c>
      <c r="D20" s="33" t="str">
        <v>Arnau Sala</v>
      </c>
      <c r="E20" s="33" t="str">
        <v>f1a</v>
      </c>
      <c r="F20" s="33" t="str">
        <v>6eB</v>
      </c>
      <c r="G20" s="33" t="str">
        <v>No</v>
      </c>
      <c r="H20" s="33" t="str">
        <v/>
      </c>
    </row>
    <row r="21">
      <c r="A21" s="34" t="str">
        <v>2025-12-16</v>
      </c>
      <c r="B21" s="34" t="str">
        <v>Dimarts</v>
      </c>
      <c r="C21" s="34" t="str">
        <v>Jordi Bosch</v>
      </c>
      <c r="D21" s="34" t="str">
        <v>Pau Esteve</v>
      </c>
      <c r="E21" s="34" t="str">
        <v>f1b</v>
      </c>
      <c r="F21" s="34" t="str">
        <v>Angles</v>
      </c>
      <c r="G21" s="34" t="str">
        <v>No</v>
      </c>
      <c r="H21" s="34" t="str">
        <v/>
      </c>
    </row>
    <row r="22">
      <c r="A22" s="33" t="str">
        <v>2025-12-16</v>
      </c>
      <c r="B22" s="33" t="str">
        <v>Dimarts</v>
      </c>
      <c r="C22" s="33" t="str">
        <v>Marc Vidal</v>
      </c>
      <c r="D22" s="33" t="str">
        <v>Pau Esteve</v>
      </c>
      <c r="E22" s="33" t="str">
        <v>f2a</v>
      </c>
      <c r="F22" s="33" t="str">
        <v>Angles</v>
      </c>
      <c r="G22" s="33" t="str">
        <v>No</v>
      </c>
      <c r="H22" s="33" t="str">
        <v/>
      </c>
    </row>
    <row r="23">
      <c r="A23" s="34" t="str">
        <v>2025-12-16</v>
      </c>
      <c r="B23" s="34" t="str">
        <v>Dimarts</v>
      </c>
      <c r="C23" s="34" t="str">
        <v>Jordi Bosch</v>
      </c>
      <c r="D23" s="34" t="str">
        <v>Pau Esteve</v>
      </c>
      <c r="E23" s="34" t="str">
        <v>f1a</v>
      </c>
      <c r="F23" s="34" t="str">
        <v>Angles</v>
      </c>
      <c r="G23" s="34" t="str">
        <v>No</v>
      </c>
      <c r="H23" s="34" t="str">
        <v/>
      </c>
    </row>
  </sheetData>
  <mergeCells count="3">
    <mergeCell ref="A1:H1"/>
    <mergeCell ref="A2:H2"/>
    <mergeCell ref="A4:H4"/>
  </mergeCells>
  <ignoredErrors>
    <ignoredError numberStoredAsText="1" sqref="A1:H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40.83203125" customWidth="1"/>
    <col min="2" max="2" width="10.83203125" customWidth="1"/>
    <col min="3" max="3" width="16.83203125" customWidth="1"/>
    <col min="4" max="4" width="16.83203125" customWidth="1"/>
    <col min="5" max="5" width="40.83203125" customWidth="1"/>
    <col min="6" max="6" width="10.83203125" customWidth="1"/>
    <col min="7" max="7" width="25.83203125" customWidth="1"/>
    <col min="8" max="8" width="24.83203125" customWidth="1"/>
  </cols>
  <sheetData>
    <row r="1" ht="44" customHeight="1">
      <c r="A1" s="36" t="str">
        <v>Escola Demo - HorariaPro</v>
      </c>
      <c r="B1" s="36" t="str">
        <v/>
      </c>
      <c r="C1" s="36" t="str">
        <v/>
      </c>
      <c r="D1" s="36" t="str">
        <v/>
      </c>
      <c r="E1" s="36" t="str">
        <v/>
      </c>
      <c r="F1" s="36" t="str">
        <v/>
      </c>
      <c r="G1" s="36" t="str">
        <v/>
      </c>
      <c r="H1" s="36" t="str">
        <v>Generat per HorariaPro</v>
      </c>
    </row>
    <row r="2" ht="22" customHeight="1">
      <c r="A2" s="6" t="str">
        <v>Curs 2025–2026 · Gener 2026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6" customHeight="1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 ht="24" customHeight="1">
      <c r="A4" s="37" t="str">
        <v>Gener 2026  ·  4 abs. · 17 cob. · 4 docents afectats</v>
      </c>
      <c r="B4" s="37" t="str">
        <v/>
      </c>
      <c r="C4" s="37" t="str">
        <v/>
      </c>
      <c r="D4" s="37" t="str">
        <v/>
      </c>
      <c r="E4" s="37" t="str">
        <v/>
      </c>
      <c r="F4" s="37" t="str">
        <v/>
      </c>
      <c r="G4" s="37" t="str">
        <v/>
      </c>
      <c r="H4" s="37" t="str">
        <v/>
      </c>
    </row>
    <row r="5" ht="6" customHeight="1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8" t="str">
        <v>▸ ABSÈNCIES</v>
      </c>
      <c r="B6" s="38" t="str">
        <v/>
      </c>
      <c r="C6" s="38" t="str">
        <v/>
      </c>
      <c r="D6" s="38" t="str">
        <v/>
      </c>
      <c r="E6" s="38" t="str">
        <v/>
      </c>
      <c r="F6" s="38" t="str">
        <v/>
      </c>
      <c r="G6" s="38" t="str">
        <v/>
      </c>
      <c r="H6" s="38" t="str">
        <v/>
      </c>
    </row>
    <row r="7">
      <c r="A7" s="39" t="str">
        <v>Data</v>
      </c>
      <c r="B7" s="39" t="str">
        <v>Dia</v>
      </c>
      <c r="C7" s="39" t="str">
        <v>Docent</v>
      </c>
      <c r="D7" s="39" t="str">
        <v>Motiu</v>
      </c>
      <c r="E7" s="39" t="str">
        <v>Franges</v>
      </c>
      <c r="F7" s="39" t="str">
        <v>Estat</v>
      </c>
      <c r="G7" s="39" t="str">
        <v>Cobert per</v>
      </c>
      <c r="H7" s="39" t="str">
        <v>Núm. cob.</v>
      </c>
    </row>
    <row r="8">
      <c r="A8" s="33" t="str">
        <v>2026-01-13</v>
      </c>
      <c r="B8" s="33" t="str">
        <v>Dimarts</v>
      </c>
      <c r="C8" s="33" t="str">
        <v>Anna Puig</v>
      </c>
      <c r="D8" s="33" t="str">
        <v>Malaltia</v>
      </c>
      <c r="E8" s="33" t="str">
        <f>f1b</f>
        <v>f1a</v>
      </c>
      <c r="F8" s="33" t="str">
        <v>Arxivat</v>
      </c>
      <c r="G8" s="33" t="str">
        <v>Nuria Camps; Gemma Tort</v>
      </c>
      <c r="H8" s="33">
        <v>7</v>
      </c>
    </row>
    <row r="9">
      <c r="A9" s="34" t="str">
        <v>2026-01-20</v>
      </c>
      <c r="B9" s="34" t="str">
        <v>Dimarts</v>
      </c>
      <c r="C9" s="34" t="str">
        <v>Roger Vila</v>
      </c>
      <c r="D9" s="34" t="str">
        <v>Permis per dol</v>
      </c>
      <c r="E9" s="34" t="str">
        <f>f1b</f>
        <v>f1a</v>
      </c>
      <c r="F9" s="34" t="str">
        <v>Arxivat</v>
      </c>
      <c r="G9" s="34" t="str">
        <v>Gemma Tort</v>
      </c>
      <c r="H9" s="34">
        <v>3</v>
      </c>
    </row>
    <row r="10">
      <c r="A10" s="33" t="str">
        <v>2026-01-27</v>
      </c>
      <c r="B10" s="33" t="str">
        <v>Dimarts</v>
      </c>
      <c r="C10" s="33" t="str">
        <v>Marc Vidal</v>
      </c>
      <c r="D10" s="33" t="str">
        <v>Malaltia</v>
      </c>
      <c r="E10" s="33" t="str">
        <f>f1b</f>
        <v>f1a</v>
      </c>
      <c r="F10" s="33" t="str">
        <v>Arxivat</v>
      </c>
      <c r="G10" s="33" t="str">
        <v>Arnau Sala</v>
      </c>
      <c r="H10" s="33">
        <v>5</v>
      </c>
    </row>
    <row r="11">
      <c r="A11" s="34" t="str">
        <v>2026-01-29</v>
      </c>
      <c r="B11" s="34" t="str">
        <v>Dijous</v>
      </c>
      <c r="C11" s="34" t="str">
        <v>Elisabet Roca</v>
      </c>
      <c r="D11" s="34" t="str">
        <v>Visita medica</v>
      </c>
      <c r="E11" s="34" t="str">
        <f>f1b</f>
        <v>f1a</v>
      </c>
      <c r="F11" s="34" t="str">
        <v>Arxivat</v>
      </c>
      <c r="G11" s="34" t="str">
        <v>Sara Prat</v>
      </c>
      <c r="H11" s="34">
        <v>2</v>
      </c>
    </row>
    <row r="12">
      <c r="A12" s="33" t="str">
        <v/>
      </c>
      <c r="B12" s="33" t="str">
        <v/>
      </c>
      <c r="C12" s="33" t="str">
        <v/>
      </c>
      <c r="D12" s="33" t="str">
        <v/>
      </c>
      <c r="E12" s="33" t="str">
        <v/>
      </c>
      <c r="F12" s="33" t="str">
        <v/>
      </c>
      <c r="G12" s="33" t="str">
        <v/>
      </c>
      <c r="H12" s="33" t="str">
        <v/>
      </c>
    </row>
    <row r="13">
      <c r="A13" s="40" t="str">
        <v>▸ COBERTURES</v>
      </c>
      <c r="B13" s="40" t="str">
        <v/>
      </c>
      <c r="C13" s="40" t="str">
        <v/>
      </c>
      <c r="D13" s="40" t="str">
        <v/>
      </c>
      <c r="E13" s="40" t="str">
        <v/>
      </c>
      <c r="F13" s="40" t="str">
        <v/>
      </c>
      <c r="G13" s="40" t="str">
        <v/>
      </c>
      <c r="H13" s="40" t="str">
        <v/>
      </c>
    </row>
    <row r="14">
      <c r="A14" s="41" t="str">
        <v>Data</v>
      </c>
      <c r="B14" s="41" t="str">
        <v>Dia</v>
      </c>
      <c r="C14" s="41" t="str">
        <v>Docent cobrint</v>
      </c>
      <c r="D14" s="41" t="str">
        <v>Docent absent</v>
      </c>
      <c r="E14" s="41" t="str">
        <v>Franja</v>
      </c>
      <c r="F14" s="41" t="str">
        <v>Grup</v>
      </c>
      <c r="G14" s="41" t="str">
        <v>TP afectat</v>
      </c>
      <c r="H14" s="41" t="str">
        <v/>
      </c>
    </row>
    <row r="15">
      <c r="A15" s="34" t="str">
        <v>2026-01-13</v>
      </c>
      <c r="B15" s="34" t="str">
        <v>Dimarts</v>
      </c>
      <c r="C15" s="34" t="str">
        <v>Nuria Camps</v>
      </c>
      <c r="D15" s="34" t="str">
        <v>Anna Puig</v>
      </c>
      <c r="E15" s="34" t="str">
        <v>f1b</v>
      </c>
      <c r="F15" s="34" t="str">
        <v>3rA</v>
      </c>
      <c r="G15" s="34" t="str">
        <v>No</v>
      </c>
      <c r="H15" s="34" t="str">
        <v/>
      </c>
    </row>
    <row r="16">
      <c r="A16" s="33" t="str">
        <v>2026-01-13</v>
      </c>
      <c r="B16" s="33" t="str">
        <v>Dimarts</v>
      </c>
      <c r="C16" s="33" t="str">
        <v>Gemma Tort</v>
      </c>
      <c r="D16" s="33" t="str">
        <v>Anna Puig</v>
      </c>
      <c r="E16" s="33" t="str">
        <v>f5b</v>
      </c>
      <c r="F16" s="33" t="str">
        <v>3rA</v>
      </c>
      <c r="G16" s="33" t="str">
        <v>Sí</v>
      </c>
      <c r="H16" s="33" t="str">
        <v/>
      </c>
    </row>
    <row r="17">
      <c r="A17" s="34" t="str">
        <v>2026-01-13</v>
      </c>
      <c r="B17" s="34" t="str">
        <v>Dimarts</v>
      </c>
      <c r="C17" s="34" t="str">
        <v>Gemma Tort</v>
      </c>
      <c r="D17" s="34" t="str">
        <v>Anna Puig</v>
      </c>
      <c r="E17" s="34" t="str">
        <v>f5a</v>
      </c>
      <c r="F17" s="34" t="str">
        <v>3rA</v>
      </c>
      <c r="G17" s="34" t="str">
        <v>Sí</v>
      </c>
      <c r="H17" s="34" t="str">
        <v/>
      </c>
    </row>
    <row r="18">
      <c r="A18" s="33" t="str">
        <v>2026-01-13</v>
      </c>
      <c r="B18" s="33" t="str">
        <v>Dimarts</v>
      </c>
      <c r="C18" s="33" t="str">
        <v>Nuria Camps</v>
      </c>
      <c r="D18" s="33" t="str">
        <v>Anna Puig</v>
      </c>
      <c r="E18" s="33" t="str">
        <v>f3b</v>
      </c>
      <c r="F18" s="33" t="str">
        <v>3rA</v>
      </c>
      <c r="G18" s="33" t="str">
        <v>No</v>
      </c>
      <c r="H18" s="33" t="str">
        <v/>
      </c>
    </row>
    <row r="19">
      <c r="A19" s="34" t="str">
        <v>2026-01-13</v>
      </c>
      <c r="B19" s="34" t="str">
        <v>Dimarts</v>
      </c>
      <c r="C19" s="34" t="str">
        <v>Nuria Camps</v>
      </c>
      <c r="D19" s="34" t="str">
        <v>Anna Puig</v>
      </c>
      <c r="E19" s="34" t="str">
        <v>f3a</v>
      </c>
      <c r="F19" s="34" t="str">
        <v>3rA</v>
      </c>
      <c r="G19" s="34" t="str">
        <v>No</v>
      </c>
      <c r="H19" s="34" t="str">
        <v/>
      </c>
    </row>
    <row r="20">
      <c r="A20" s="33" t="str">
        <v>2026-01-13</v>
      </c>
      <c r="B20" s="33" t="str">
        <v>Dimarts</v>
      </c>
      <c r="C20" s="33" t="str">
        <v>Nuria Camps</v>
      </c>
      <c r="D20" s="33" t="str">
        <v>Anna Puig</v>
      </c>
      <c r="E20" s="33" t="str">
        <v>f2a</v>
      </c>
      <c r="F20" s="33" t="str">
        <v>3rA</v>
      </c>
      <c r="G20" s="33" t="str">
        <v>No</v>
      </c>
      <c r="H20" s="33" t="str">
        <v/>
      </c>
    </row>
    <row r="21">
      <c r="A21" s="34" t="str">
        <v>2026-01-13</v>
      </c>
      <c r="B21" s="34" t="str">
        <v>Dimarts</v>
      </c>
      <c r="C21" s="34" t="str">
        <v>Nuria Camps</v>
      </c>
      <c r="D21" s="34" t="str">
        <v>Anna Puig</v>
      </c>
      <c r="E21" s="34" t="str">
        <v>f1a</v>
      </c>
      <c r="F21" s="34" t="str">
        <v>3rA</v>
      </c>
      <c r="G21" s="34" t="str">
        <v>No</v>
      </c>
      <c r="H21" s="34" t="str">
        <v/>
      </c>
    </row>
    <row r="22">
      <c r="A22" s="33" t="str">
        <v>2026-01-20</v>
      </c>
      <c r="B22" s="33" t="str">
        <v>Dimarts</v>
      </c>
      <c r="C22" s="33" t="str">
        <v>Gemma Tort</v>
      </c>
      <c r="D22" s="33" t="str">
        <v>Roger Vila</v>
      </c>
      <c r="E22" s="33" t="str">
        <v>f1b</v>
      </c>
      <c r="F22" s="33" t="str">
        <v>4tB</v>
      </c>
      <c r="G22" s="33" t="str">
        <v>No</v>
      </c>
      <c r="H22" s="33" t="str">
        <v/>
      </c>
    </row>
    <row r="23">
      <c r="A23" s="34" t="str">
        <v>2026-01-20</v>
      </c>
      <c r="B23" s="34" t="str">
        <v>Dimarts</v>
      </c>
      <c r="C23" s="34" t="str">
        <v>Gemma Tort</v>
      </c>
      <c r="D23" s="34" t="str">
        <v>Roger Vila</v>
      </c>
      <c r="E23" s="34" t="str">
        <v>f2a</v>
      </c>
      <c r="F23" s="34" t="str">
        <v>4tB</v>
      </c>
      <c r="G23" s="34" t="str">
        <v>No</v>
      </c>
      <c r="H23" s="34" t="str">
        <v/>
      </c>
    </row>
    <row r="24">
      <c r="A24" s="33" t="str">
        <v>2026-01-20</v>
      </c>
      <c r="B24" s="33" t="str">
        <v>Dimarts</v>
      </c>
      <c r="C24" s="33" t="str">
        <v>Gemma Tort</v>
      </c>
      <c r="D24" s="33" t="str">
        <v>Roger Vila</v>
      </c>
      <c r="E24" s="33" t="str">
        <v>f1a</v>
      </c>
      <c r="F24" s="33" t="str">
        <v>4tB</v>
      </c>
      <c r="G24" s="33" t="str">
        <v>No</v>
      </c>
      <c r="H24" s="33" t="str">
        <v/>
      </c>
    </row>
    <row r="25">
      <c r="A25" s="34" t="str">
        <v>2026-01-27</v>
      </c>
      <c r="B25" s="34" t="str">
        <v>Dimarts</v>
      </c>
      <c r="C25" s="34" t="str">
        <v>Arnau Sala</v>
      </c>
      <c r="D25" s="34" t="str">
        <v>Marc Vidal</v>
      </c>
      <c r="E25" s="34" t="str">
        <v>f3a</v>
      </c>
      <c r="F25" s="34" t="str">
        <v>3rB</v>
      </c>
      <c r="G25" s="34" t="str">
        <v>No</v>
      </c>
      <c r="H25" s="34" t="str">
        <v/>
      </c>
    </row>
    <row r="26">
      <c r="A26" s="33" t="str">
        <v>2026-01-27</v>
      </c>
      <c r="B26" s="33" t="str">
        <v>Dimarts</v>
      </c>
      <c r="C26" s="33" t="str">
        <v>Arnau Sala</v>
      </c>
      <c r="D26" s="33" t="str">
        <v>Marc Vidal</v>
      </c>
      <c r="E26" s="33" t="str">
        <v>f2a</v>
      </c>
      <c r="F26" s="33" t="str">
        <v>3rB</v>
      </c>
      <c r="G26" s="33" t="str">
        <v>No</v>
      </c>
      <c r="H26" s="33" t="str">
        <v/>
      </c>
    </row>
    <row r="27">
      <c r="A27" s="34" t="str">
        <v>2026-01-27</v>
      </c>
      <c r="B27" s="34" t="str">
        <v>Dimarts</v>
      </c>
      <c r="C27" s="34" t="str">
        <v>Arnau Sala</v>
      </c>
      <c r="D27" s="34" t="str">
        <v>Marc Vidal</v>
      </c>
      <c r="E27" s="34" t="str">
        <v>f1b</v>
      </c>
      <c r="F27" s="34" t="str">
        <v>3rB</v>
      </c>
      <c r="G27" s="34" t="str">
        <v>No</v>
      </c>
      <c r="H27" s="34" t="str">
        <v/>
      </c>
    </row>
    <row r="28">
      <c r="A28" s="33" t="str">
        <v>2026-01-27</v>
      </c>
      <c r="B28" s="33" t="str">
        <v>Dimarts</v>
      </c>
      <c r="C28" s="33" t="str">
        <v>Arnau Sala</v>
      </c>
      <c r="D28" s="33" t="str">
        <v>Marc Vidal</v>
      </c>
      <c r="E28" s="33" t="str">
        <v>f3b</v>
      </c>
      <c r="F28" s="33" t="str">
        <v>3rB</v>
      </c>
      <c r="G28" s="33" t="str">
        <v>No</v>
      </c>
      <c r="H28" s="33" t="str">
        <v/>
      </c>
    </row>
    <row r="29">
      <c r="A29" s="34" t="str">
        <v>2026-01-27</v>
      </c>
      <c r="B29" s="34" t="str">
        <v>Dimarts</v>
      </c>
      <c r="C29" s="34" t="str">
        <v>Arnau Sala</v>
      </c>
      <c r="D29" s="34" t="str">
        <v>Marc Vidal</v>
      </c>
      <c r="E29" s="34" t="str">
        <v>f1a</v>
      </c>
      <c r="F29" s="34" t="str">
        <v>3rB</v>
      </c>
      <c r="G29" s="34" t="str">
        <v>No</v>
      </c>
      <c r="H29" s="34" t="str">
        <v/>
      </c>
    </row>
    <row r="30">
      <c r="A30" s="33" t="str">
        <v>2026-01-29</v>
      </c>
      <c r="B30" s="33" t="str">
        <v>Dijous</v>
      </c>
      <c r="C30" s="33" t="str">
        <v>Sara Prat</v>
      </c>
      <c r="D30" s="33" t="str">
        <v>Elisabet Roca</v>
      </c>
      <c r="E30" s="33" t="str">
        <v>f1b</v>
      </c>
      <c r="F30" s="33" t="str">
        <v>6eA</v>
      </c>
      <c r="G30" s="33" t="str">
        <v>No</v>
      </c>
      <c r="H30" s="33" t="str">
        <v/>
      </c>
    </row>
    <row r="31">
      <c r="A31" s="34" t="str">
        <v>2026-01-29</v>
      </c>
      <c r="B31" s="34" t="str">
        <v>Dijous</v>
      </c>
      <c r="C31" s="34" t="str">
        <v>Sara Prat</v>
      </c>
      <c r="D31" s="34" t="str">
        <v>Elisabet Roca</v>
      </c>
      <c r="E31" s="34" t="str">
        <v>f1a</v>
      </c>
      <c r="F31" s="34" t="str">
        <v>6eA</v>
      </c>
      <c r="G31" s="34" t="str">
        <v>No</v>
      </c>
      <c r="H31" s="34" t="str">
        <v/>
      </c>
    </row>
  </sheetData>
  <mergeCells count="3">
    <mergeCell ref="A1:H1"/>
    <mergeCell ref="A2:H2"/>
    <mergeCell ref="A4:H4"/>
  </mergeCells>
  <ignoredErrors>
    <ignoredError numberStoredAsText="1" sqref="A1:H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40.83203125" customWidth="1"/>
    <col min="2" max="2" width="10.83203125" customWidth="1"/>
    <col min="3" max="3" width="16.83203125" customWidth="1"/>
    <col min="4" max="4" width="15.83203125" customWidth="1"/>
    <col min="5" max="5" width="40.83203125" customWidth="1"/>
    <col min="6" max="6" width="10.83203125" customWidth="1"/>
    <col min="7" max="7" width="26.83203125" customWidth="1"/>
    <col min="8" max="8" width="24.83203125" customWidth="1"/>
  </cols>
  <sheetData>
    <row r="1" ht="44" customHeight="1">
      <c r="A1" s="36" t="str">
        <v>Escola Demo - HorariaPro</v>
      </c>
      <c r="B1" s="36" t="str">
        <v/>
      </c>
      <c r="C1" s="36" t="str">
        <v/>
      </c>
      <c r="D1" s="36" t="str">
        <v/>
      </c>
      <c r="E1" s="36" t="str">
        <v/>
      </c>
      <c r="F1" s="36" t="str">
        <v/>
      </c>
      <c r="G1" s="36" t="str">
        <v/>
      </c>
      <c r="H1" s="36" t="str">
        <v>Generat per HorariaPro</v>
      </c>
    </row>
    <row r="2" ht="22" customHeight="1">
      <c r="A2" s="6" t="str">
        <v>Curs 2025–2026 · Febrer 2026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6" customHeight="1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 ht="24" customHeight="1">
      <c r="A4" s="37" t="str">
        <v>Febrer 2026  ·  4 abs. · 14 cob. · 4 docents afectats</v>
      </c>
      <c r="B4" s="37" t="str">
        <v/>
      </c>
      <c r="C4" s="37" t="str">
        <v/>
      </c>
      <c r="D4" s="37" t="str">
        <v/>
      </c>
      <c r="E4" s="37" t="str">
        <v/>
      </c>
      <c r="F4" s="37" t="str">
        <v/>
      </c>
      <c r="G4" s="37" t="str">
        <v/>
      </c>
      <c r="H4" s="37" t="str">
        <v/>
      </c>
    </row>
    <row r="5" ht="6" customHeight="1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8" t="str">
        <v>▸ ABSÈNCIES</v>
      </c>
      <c r="B6" s="38" t="str">
        <v/>
      </c>
      <c r="C6" s="38" t="str">
        <v/>
      </c>
      <c r="D6" s="38" t="str">
        <v/>
      </c>
      <c r="E6" s="38" t="str">
        <v/>
      </c>
      <c r="F6" s="38" t="str">
        <v/>
      </c>
      <c r="G6" s="38" t="str">
        <v/>
      </c>
      <c r="H6" s="38" t="str">
        <v/>
      </c>
    </row>
    <row r="7">
      <c r="A7" s="39" t="str">
        <v>Data</v>
      </c>
      <c r="B7" s="39" t="str">
        <v>Dia</v>
      </c>
      <c r="C7" s="39" t="str">
        <v>Docent</v>
      </c>
      <c r="D7" s="39" t="str">
        <v>Motiu</v>
      </c>
      <c r="E7" s="39" t="str">
        <v>Franges</v>
      </c>
      <c r="F7" s="39" t="str">
        <v>Estat</v>
      </c>
      <c r="G7" s="39" t="str">
        <v>Cobert per</v>
      </c>
      <c r="H7" s="39" t="str">
        <v>Núm. cob.</v>
      </c>
    </row>
    <row r="8">
      <c r="A8" s="33" t="str">
        <v>2026-02-03</v>
      </c>
      <c r="B8" s="33" t="str">
        <v>Dimarts</v>
      </c>
      <c r="C8" s="33" t="str">
        <v>Jordi Bosch</v>
      </c>
      <c r="D8" s="33" t="str">
        <v>Malaltia</v>
      </c>
      <c r="E8" s="33" t="str">
        <f>f1b</f>
        <v>f1a</v>
      </c>
      <c r="F8" s="33" t="str">
        <v>Arxivat</v>
      </c>
      <c r="G8" s="33" t="str">
        <v>Marc Vidal</v>
      </c>
      <c r="H8" s="33">
        <v>5</v>
      </c>
    </row>
    <row r="9">
      <c r="A9" s="34" t="str">
        <v>2026-02-10</v>
      </c>
      <c r="B9" s="34" t="str">
        <v>Dimarts</v>
      </c>
      <c r="C9" s="34" t="str">
        <v>Toni Jove</v>
      </c>
      <c r="D9" s="34" t="str">
        <v>Visita medica</v>
      </c>
      <c r="E9" s="34" t="str">
        <f>f1b</f>
        <v>f1a</v>
      </c>
      <c r="F9" s="34" t="str">
        <v>Arxivat</v>
      </c>
      <c r="G9" s="34" t="str">
        <v>Gemma Tort</v>
      </c>
      <c r="H9" s="34">
        <v>2</v>
      </c>
    </row>
    <row r="10">
      <c r="A10" s="33" t="str">
        <v>2026-02-17</v>
      </c>
      <c r="B10" s="33" t="str">
        <v>Dimarts</v>
      </c>
      <c r="C10" s="33" t="str">
        <v>Laia Ros</v>
      </c>
      <c r="D10" s="33" t="str">
        <v>Malaltia</v>
      </c>
      <c r="E10" s="33" t="str">
        <f>f1b</f>
        <v>f1a</v>
      </c>
      <c r="F10" s="33" t="str">
        <v>Arxivat</v>
      </c>
      <c r="G10" s="33" t="str">
        <v>Marta Ferrer; Carla Font</v>
      </c>
      <c r="H10" s="33">
        <v>5</v>
      </c>
    </row>
    <row r="11">
      <c r="A11" s="34" t="str">
        <v>2026-02-24</v>
      </c>
      <c r="B11" s="34" t="str">
        <v>Dimarts</v>
      </c>
      <c r="C11" s="34" t="str">
        <v>Nuria Camps</v>
      </c>
      <c r="D11" s="34" t="str">
        <v>Malaltia</v>
      </c>
      <c r="E11" s="34" t="str">
        <f>f1b</f>
        <v>f1a</v>
      </c>
      <c r="F11" s="34" t="str">
        <v>Arxivat</v>
      </c>
      <c r="G11" s="34" t="str">
        <v>Gemma Tort</v>
      </c>
      <c r="H11" s="34">
        <v>2</v>
      </c>
    </row>
    <row r="12">
      <c r="A12" s="33" t="str">
        <v/>
      </c>
      <c r="B12" s="33" t="str">
        <v/>
      </c>
      <c r="C12" s="33" t="str">
        <v/>
      </c>
      <c r="D12" s="33" t="str">
        <v/>
      </c>
      <c r="E12" s="33" t="str">
        <v/>
      </c>
      <c r="F12" s="33" t="str">
        <v/>
      </c>
      <c r="G12" s="33" t="str">
        <v/>
      </c>
      <c r="H12" s="33" t="str">
        <v/>
      </c>
    </row>
    <row r="13">
      <c r="A13" s="40" t="str">
        <v>▸ COBERTURES</v>
      </c>
      <c r="B13" s="40" t="str">
        <v/>
      </c>
      <c r="C13" s="40" t="str">
        <v/>
      </c>
      <c r="D13" s="40" t="str">
        <v/>
      </c>
      <c r="E13" s="40" t="str">
        <v/>
      </c>
      <c r="F13" s="40" t="str">
        <v/>
      </c>
      <c r="G13" s="40" t="str">
        <v/>
      </c>
      <c r="H13" s="40" t="str">
        <v/>
      </c>
    </row>
    <row r="14">
      <c r="A14" s="41" t="str">
        <v>Data</v>
      </c>
      <c r="B14" s="41" t="str">
        <v>Dia</v>
      </c>
      <c r="C14" s="41" t="str">
        <v>Docent cobrint</v>
      </c>
      <c r="D14" s="41" t="str">
        <v>Docent absent</v>
      </c>
      <c r="E14" s="41" t="str">
        <v>Franja</v>
      </c>
      <c r="F14" s="41" t="str">
        <v>Grup</v>
      </c>
      <c r="G14" s="41" t="str">
        <v>TP afectat</v>
      </c>
      <c r="H14" s="41" t="str">
        <v/>
      </c>
    </row>
    <row r="15">
      <c r="A15" s="34" t="str">
        <v>2026-02-03</v>
      </c>
      <c r="B15" s="34" t="str">
        <v>Dimarts</v>
      </c>
      <c r="C15" s="34" t="str">
        <v>Marc Vidal</v>
      </c>
      <c r="D15" s="34" t="str">
        <v>Jordi Bosch</v>
      </c>
      <c r="E15" s="34" t="str">
        <v>f3b</v>
      </c>
      <c r="F15" s="34" t="str">
        <v>2nB</v>
      </c>
      <c r="G15" s="34" t="str">
        <v>No</v>
      </c>
      <c r="H15" s="34" t="str">
        <v/>
      </c>
    </row>
    <row r="16">
      <c r="A16" s="33" t="str">
        <v>2026-02-03</v>
      </c>
      <c r="B16" s="33" t="str">
        <v>Dimarts</v>
      </c>
      <c r="C16" s="33" t="str">
        <v>Marc Vidal</v>
      </c>
      <c r="D16" s="33" t="str">
        <v>Jordi Bosch</v>
      </c>
      <c r="E16" s="33" t="str">
        <v>f1a</v>
      </c>
      <c r="F16" s="33" t="str">
        <v>2nB</v>
      </c>
      <c r="G16" s="33" t="str">
        <v>No</v>
      </c>
      <c r="H16" s="33" t="str">
        <v/>
      </c>
    </row>
    <row r="17">
      <c r="A17" s="34" t="str">
        <v>2026-02-03</v>
      </c>
      <c r="B17" s="34" t="str">
        <v>Dimarts</v>
      </c>
      <c r="C17" s="34" t="str">
        <v>Marc Vidal</v>
      </c>
      <c r="D17" s="34" t="str">
        <v>Jordi Bosch</v>
      </c>
      <c r="E17" s="34" t="str">
        <v>f1b</v>
      </c>
      <c r="F17" s="34" t="str">
        <v>2nB</v>
      </c>
      <c r="G17" s="34" t="str">
        <v>No</v>
      </c>
      <c r="H17" s="34" t="str">
        <v/>
      </c>
    </row>
    <row r="18">
      <c r="A18" s="33" t="str">
        <v>2026-02-03</v>
      </c>
      <c r="B18" s="33" t="str">
        <v>Dimarts</v>
      </c>
      <c r="C18" s="33" t="str">
        <v>Marc Vidal</v>
      </c>
      <c r="D18" s="33" t="str">
        <v>Jordi Bosch</v>
      </c>
      <c r="E18" s="33" t="str">
        <v>f2a</v>
      </c>
      <c r="F18" s="33" t="str">
        <v>2nB</v>
      </c>
      <c r="G18" s="33" t="str">
        <v>No</v>
      </c>
      <c r="H18" s="33" t="str">
        <v/>
      </c>
    </row>
    <row r="19">
      <c r="A19" s="34" t="str">
        <v>2026-02-03</v>
      </c>
      <c r="B19" s="34" t="str">
        <v>Dimarts</v>
      </c>
      <c r="C19" s="34" t="str">
        <v>Marc Vidal</v>
      </c>
      <c r="D19" s="34" t="str">
        <v>Jordi Bosch</v>
      </c>
      <c r="E19" s="34" t="str">
        <v>f3a</v>
      </c>
      <c r="F19" s="34" t="str">
        <v>2nB</v>
      </c>
      <c r="G19" s="34" t="str">
        <v>No</v>
      </c>
      <c r="H19" s="34" t="str">
        <v/>
      </c>
    </row>
    <row r="20">
      <c r="A20" s="33" t="str">
        <v>2026-02-10</v>
      </c>
      <c r="B20" s="33" t="str">
        <v>Dimarts</v>
      </c>
      <c r="C20" s="33" t="str">
        <v>Gemma Tort</v>
      </c>
      <c r="D20" s="33" t="str">
        <v>Toni Jove</v>
      </c>
      <c r="E20" s="33" t="str">
        <v>f1a</v>
      </c>
      <c r="F20" s="33" t="str">
        <v>I5A</v>
      </c>
      <c r="G20" s="33" t="str">
        <v>No</v>
      </c>
      <c r="H20" s="33" t="str">
        <v/>
      </c>
    </row>
    <row r="21">
      <c r="A21" s="34" t="str">
        <v>2026-02-10</v>
      </c>
      <c r="B21" s="34" t="str">
        <v>Dimarts</v>
      </c>
      <c r="C21" s="34" t="str">
        <v>Gemma Tort</v>
      </c>
      <c r="D21" s="34" t="str">
        <v>Toni Jove</v>
      </c>
      <c r="E21" s="34" t="str">
        <v>f1b</v>
      </c>
      <c r="F21" s="34" t="str">
        <v>I5A</v>
      </c>
      <c r="G21" s="34" t="str">
        <v>No</v>
      </c>
      <c r="H21" s="34" t="str">
        <v/>
      </c>
    </row>
    <row r="22">
      <c r="A22" s="33" t="str">
        <v>2026-02-17</v>
      </c>
      <c r="B22" s="33" t="str">
        <v>Dimarts</v>
      </c>
      <c r="C22" s="33" t="str">
        <v>Marta Ferrer</v>
      </c>
      <c r="D22" s="33" t="str">
        <v>Laia Ros</v>
      </c>
      <c r="E22" s="33" t="str">
        <v>f1a</v>
      </c>
      <c r="F22" s="33" t="str">
        <v>1rA</v>
      </c>
      <c r="G22" s="33" t="str">
        <v>No</v>
      </c>
      <c r="H22" s="33" t="str">
        <v/>
      </c>
    </row>
    <row r="23">
      <c r="A23" s="34" t="str">
        <v>2026-02-17</v>
      </c>
      <c r="B23" s="34" t="str">
        <v>Dimarts</v>
      </c>
      <c r="C23" s="34" t="str">
        <v>Carla Font</v>
      </c>
      <c r="D23" s="34" t="str">
        <v>Laia Ros</v>
      </c>
      <c r="E23" s="34" t="str">
        <v>f5b</v>
      </c>
      <c r="F23" s="34" t="str">
        <v>1rA</v>
      </c>
      <c r="G23" s="34" t="str">
        <v>Sí</v>
      </c>
      <c r="H23" s="34" t="str">
        <v/>
      </c>
    </row>
    <row r="24">
      <c r="A24" s="33" t="str">
        <v>2026-02-17</v>
      </c>
      <c r="B24" s="33" t="str">
        <v>Dimarts</v>
      </c>
      <c r="C24" s="33" t="str">
        <v>Carla Font</v>
      </c>
      <c r="D24" s="33" t="str">
        <v>Laia Ros</v>
      </c>
      <c r="E24" s="33" t="str">
        <v>f5a</v>
      </c>
      <c r="F24" s="33" t="str">
        <v>1rA</v>
      </c>
      <c r="G24" s="33" t="str">
        <v>Sí</v>
      </c>
      <c r="H24" s="33" t="str">
        <v/>
      </c>
    </row>
    <row r="25">
      <c r="A25" s="34" t="str">
        <v>2026-02-17</v>
      </c>
      <c r="B25" s="34" t="str">
        <v>Dimarts</v>
      </c>
      <c r="C25" s="34" t="str">
        <v>Marta Ferrer</v>
      </c>
      <c r="D25" s="34" t="str">
        <v>Laia Ros</v>
      </c>
      <c r="E25" s="34" t="str">
        <v>f3a</v>
      </c>
      <c r="F25" s="34" t="str">
        <v>1rA</v>
      </c>
      <c r="G25" s="34" t="str">
        <v>No</v>
      </c>
      <c r="H25" s="34" t="str">
        <v/>
      </c>
    </row>
    <row r="26">
      <c r="A26" s="33" t="str">
        <v>2026-02-17</v>
      </c>
      <c r="B26" s="33" t="str">
        <v>Dimarts</v>
      </c>
      <c r="C26" s="33" t="str">
        <v>Marta Ferrer</v>
      </c>
      <c r="D26" s="33" t="str">
        <v>Laia Ros</v>
      </c>
      <c r="E26" s="33" t="str">
        <v>f2a</v>
      </c>
      <c r="F26" s="33" t="str">
        <v>1rA</v>
      </c>
      <c r="G26" s="33" t="str">
        <v>No</v>
      </c>
      <c r="H26" s="33" t="str">
        <v/>
      </c>
    </row>
    <row r="27">
      <c r="A27" s="34" t="str">
        <v>2026-02-24</v>
      </c>
      <c r="B27" s="34" t="str">
        <v>Dimarts</v>
      </c>
      <c r="C27" s="34" t="str">
        <v>Gemma Tort</v>
      </c>
      <c r="D27" s="34" t="str">
        <v>Nuria Camps</v>
      </c>
      <c r="E27" s="34" t="str">
        <v>f1b</v>
      </c>
      <c r="F27" s="34" t="str">
        <v>Suport</v>
      </c>
      <c r="G27" s="34" t="str">
        <v>No</v>
      </c>
      <c r="H27" s="34" t="str">
        <v/>
      </c>
    </row>
    <row r="28">
      <c r="A28" s="33" t="str">
        <v>2026-02-24</v>
      </c>
      <c r="B28" s="33" t="str">
        <v>Dimarts</v>
      </c>
      <c r="C28" s="33" t="str">
        <v>Gemma Tort</v>
      </c>
      <c r="D28" s="33" t="str">
        <v>Nuria Camps</v>
      </c>
      <c r="E28" s="33" t="str">
        <v>f1a</v>
      </c>
      <c r="F28" s="33" t="str">
        <v>Suport</v>
      </c>
      <c r="G28" s="33" t="str">
        <v>No</v>
      </c>
      <c r="H28" s="33" t="str">
        <v/>
      </c>
    </row>
  </sheetData>
  <mergeCells count="3">
    <mergeCell ref="A1:H1"/>
    <mergeCell ref="A2:H2"/>
    <mergeCell ref="A4:H4"/>
  </mergeCells>
  <ignoredErrors>
    <ignoredError numberStoredAsText="1" sqref="A1:H2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40.83203125" customWidth="1"/>
    <col min="2" max="2" width="10.83203125" customWidth="1"/>
    <col min="3" max="3" width="16.83203125" customWidth="1"/>
    <col min="4" max="4" width="16.83203125" customWidth="1"/>
    <col min="5" max="5" width="33.83203125" customWidth="1"/>
    <col min="6" max="6" width="10.83203125" customWidth="1"/>
    <col min="7" max="7" width="13.83203125" customWidth="1"/>
    <col min="8" max="8" width="24.83203125" customWidth="1"/>
  </cols>
  <sheetData>
    <row r="1" ht="44" customHeight="1">
      <c r="A1" s="36" t="str">
        <v>Escola Demo - HorariaPro</v>
      </c>
      <c r="B1" s="36" t="str">
        <v/>
      </c>
      <c r="C1" s="36" t="str">
        <v/>
      </c>
      <c r="D1" s="36" t="str">
        <v/>
      </c>
      <c r="E1" s="36" t="str">
        <v/>
      </c>
      <c r="F1" s="36" t="str">
        <v/>
      </c>
      <c r="G1" s="36" t="str">
        <v/>
      </c>
      <c r="H1" s="36" t="str">
        <v>Generat per HorariaPro</v>
      </c>
    </row>
    <row r="2" ht="22" customHeight="1">
      <c r="A2" s="6" t="str">
        <v>Curs 2025–2026 · Març 2026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6" customHeight="1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 ht="24" customHeight="1">
      <c r="A4" s="37" t="str">
        <v>Març 2026  ·  5 abs. · 16 cob. · 5 docents afectats</v>
      </c>
      <c r="B4" s="37" t="str">
        <v/>
      </c>
      <c r="C4" s="37" t="str">
        <v/>
      </c>
      <c r="D4" s="37" t="str">
        <v/>
      </c>
      <c r="E4" s="37" t="str">
        <v/>
      </c>
      <c r="F4" s="37" t="str">
        <v/>
      </c>
      <c r="G4" s="37" t="str">
        <v/>
      </c>
      <c r="H4" s="37" t="str">
        <v/>
      </c>
    </row>
    <row r="5" ht="6" customHeight="1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8" t="str">
        <v>▸ ABSÈNCIES</v>
      </c>
      <c r="B6" s="38" t="str">
        <v/>
      </c>
      <c r="C6" s="38" t="str">
        <v/>
      </c>
      <c r="D6" s="38" t="str">
        <v/>
      </c>
      <c r="E6" s="38" t="str">
        <v/>
      </c>
      <c r="F6" s="38" t="str">
        <v/>
      </c>
      <c r="G6" s="38" t="str">
        <v/>
      </c>
      <c r="H6" s="38" t="str">
        <v/>
      </c>
    </row>
    <row r="7">
      <c r="A7" s="39" t="str">
        <v>Data</v>
      </c>
      <c r="B7" s="39" t="str">
        <v>Dia</v>
      </c>
      <c r="C7" s="39" t="str">
        <v>Docent</v>
      </c>
      <c r="D7" s="39" t="str">
        <v>Motiu</v>
      </c>
      <c r="E7" s="39" t="str">
        <v>Franges</v>
      </c>
      <c r="F7" s="39" t="str">
        <v>Estat</v>
      </c>
      <c r="G7" s="39" t="str">
        <v>Cobert per</v>
      </c>
      <c r="H7" s="39" t="str">
        <v>Núm. cob.</v>
      </c>
    </row>
    <row r="8">
      <c r="A8" s="33" t="str">
        <v>2026-03-03</v>
      </c>
      <c r="B8" s="33" t="str">
        <v>Dimarts</v>
      </c>
      <c r="C8" s="33" t="str">
        <v>Pere Mas</v>
      </c>
      <c r="D8" s="33" t="str">
        <v>Examen oficial</v>
      </c>
      <c r="E8" s="33" t="str">
        <f>f1b</f>
        <v>f1a</v>
      </c>
      <c r="F8" s="33" t="str">
        <v>Arxivat</v>
      </c>
      <c r="G8" s="33" t="str">
        <v>Pau Esteve</v>
      </c>
      <c r="H8" s="33">
        <v>3</v>
      </c>
    </row>
    <row r="9">
      <c r="A9" s="34" t="str">
        <v>2026-03-05</v>
      </c>
      <c r="B9" s="34" t="str">
        <v>Dijous</v>
      </c>
      <c r="C9" s="34" t="str">
        <v>Clara Vives</v>
      </c>
      <c r="D9" s="34" t="str">
        <v>Malaltia</v>
      </c>
      <c r="E9" s="34" t="str">
        <f>f1b</f>
        <v>f1a</v>
      </c>
      <c r="F9" s="34" t="str">
        <v>Arxivat</v>
      </c>
      <c r="G9" s="34" t="str">
        <v>Nuria Camps</v>
      </c>
      <c r="H9" s="34">
        <v>3</v>
      </c>
    </row>
    <row r="10">
      <c r="A10" s="33" t="str">
        <v>2026-03-10</v>
      </c>
      <c r="B10" s="33" t="str">
        <v>Dimarts</v>
      </c>
      <c r="C10" s="33" t="str">
        <v>Sara Prat</v>
      </c>
      <c r="D10" s="33" t="str">
        <v>Malaltia</v>
      </c>
      <c r="E10" s="33" t="str">
        <f>f1b</f>
        <v>f1a</v>
      </c>
      <c r="F10" s="33" t="str">
        <v>Arxivat</v>
      </c>
      <c r="G10" s="33" t="str">
        <v>Carla Font</v>
      </c>
      <c r="H10" s="33">
        <v>3</v>
      </c>
    </row>
    <row r="11">
      <c r="A11" s="34" t="str">
        <v>2026-03-17</v>
      </c>
      <c r="B11" s="34" t="str">
        <v>Dimarts</v>
      </c>
      <c r="C11" s="34" t="str">
        <v>David Coma</v>
      </c>
      <c r="D11" s="34" t="str">
        <v>Malaltia</v>
      </c>
      <c r="E11" s="34" t="str">
        <f>f1b</f>
        <v>f1a</v>
      </c>
      <c r="F11" s="34" t="str">
        <v>Arxivat</v>
      </c>
      <c r="G11" s="34" t="str">
        <v>Roger Vila</v>
      </c>
      <c r="H11" s="34">
        <v>4</v>
      </c>
    </row>
    <row r="12">
      <c r="A12" s="33" t="str">
        <v>2026-03-24</v>
      </c>
      <c r="B12" s="33" t="str">
        <v>Dimarts</v>
      </c>
      <c r="C12" s="33" t="str">
        <v>Marta Ferrer</v>
      </c>
      <c r="D12" s="33" t="str">
        <v>Visita medica</v>
      </c>
      <c r="E12" s="33" t="str">
        <f>f1b</f>
        <v>f1a</v>
      </c>
      <c r="F12" s="33" t="str">
        <v>Arxivat</v>
      </c>
      <c r="G12" s="33" t="str">
        <v>Anna Puig</v>
      </c>
      <c r="H12" s="33">
        <v>3</v>
      </c>
    </row>
    <row r="13">
      <c r="A13" s="34" t="str">
        <v/>
      </c>
      <c r="B13" s="34" t="str">
        <v/>
      </c>
      <c r="C13" s="34" t="str">
        <v/>
      </c>
      <c r="D13" s="34" t="str">
        <v/>
      </c>
      <c r="E13" s="34" t="str">
        <v/>
      </c>
      <c r="F13" s="34" t="str">
        <v/>
      </c>
      <c r="G13" s="34" t="str">
        <v/>
      </c>
      <c r="H13" s="34" t="str">
        <v/>
      </c>
    </row>
    <row r="14">
      <c r="A14" s="40" t="str">
        <v>▸ COBERTURES</v>
      </c>
      <c r="B14" s="40" t="str">
        <v/>
      </c>
      <c r="C14" s="40" t="str">
        <v/>
      </c>
      <c r="D14" s="40" t="str">
        <v/>
      </c>
      <c r="E14" s="40" t="str">
        <v/>
      </c>
      <c r="F14" s="40" t="str">
        <v/>
      </c>
      <c r="G14" s="40" t="str">
        <v/>
      </c>
      <c r="H14" s="40" t="str">
        <v/>
      </c>
    </row>
    <row r="15">
      <c r="A15" s="41" t="str">
        <v>Data</v>
      </c>
      <c r="B15" s="41" t="str">
        <v>Dia</v>
      </c>
      <c r="C15" s="41" t="str">
        <v>Docent cobrint</v>
      </c>
      <c r="D15" s="41" t="str">
        <v>Docent absent</v>
      </c>
      <c r="E15" s="41" t="str">
        <v>Franja</v>
      </c>
      <c r="F15" s="41" t="str">
        <v>Grup</v>
      </c>
      <c r="G15" s="41" t="str">
        <v>TP afectat</v>
      </c>
      <c r="H15" s="41" t="str">
        <v/>
      </c>
    </row>
    <row r="16">
      <c r="A16" s="33" t="str">
        <v>2026-03-03</v>
      </c>
      <c r="B16" s="33" t="str">
        <v>Dimarts</v>
      </c>
      <c r="C16" s="33" t="str">
        <v>Pau Esteve</v>
      </c>
      <c r="D16" s="33" t="str">
        <v>Pere Mas</v>
      </c>
      <c r="E16" s="33" t="str">
        <v>f1b</v>
      </c>
      <c r="F16" s="33" t="str">
        <v>1rB</v>
      </c>
      <c r="G16" s="33" t="str">
        <v>No</v>
      </c>
      <c r="H16" s="33" t="str">
        <v/>
      </c>
    </row>
    <row r="17">
      <c r="A17" s="34" t="str">
        <v>2026-03-03</v>
      </c>
      <c r="B17" s="34" t="str">
        <v>Dimarts</v>
      </c>
      <c r="C17" s="34" t="str">
        <v>Pau Esteve</v>
      </c>
      <c r="D17" s="34" t="str">
        <v>Pere Mas</v>
      </c>
      <c r="E17" s="34" t="str">
        <v>f2a</v>
      </c>
      <c r="F17" s="34" t="str">
        <v>1rB</v>
      </c>
      <c r="G17" s="34" t="str">
        <v>No</v>
      </c>
      <c r="H17" s="34" t="str">
        <v/>
      </c>
    </row>
    <row r="18">
      <c r="A18" s="33" t="str">
        <v>2026-03-03</v>
      </c>
      <c r="B18" s="33" t="str">
        <v>Dimarts</v>
      </c>
      <c r="C18" s="33" t="str">
        <v>Pau Esteve</v>
      </c>
      <c r="D18" s="33" t="str">
        <v>Pere Mas</v>
      </c>
      <c r="E18" s="33" t="str">
        <v>f1a</v>
      </c>
      <c r="F18" s="33" t="str">
        <v>1rB</v>
      </c>
      <c r="G18" s="33" t="str">
        <v>No</v>
      </c>
      <c r="H18" s="33" t="str">
        <v/>
      </c>
    </row>
    <row r="19">
      <c r="A19" s="34" t="str">
        <v>2026-03-05</v>
      </c>
      <c r="B19" s="34" t="str">
        <v>Dijous</v>
      </c>
      <c r="C19" s="34" t="str">
        <v>Nuria Camps</v>
      </c>
      <c r="D19" s="34" t="str">
        <v>Clara Vives</v>
      </c>
      <c r="E19" s="34" t="str">
        <v>f2a</v>
      </c>
      <c r="F19" s="34" t="str">
        <v>SIEI</v>
      </c>
      <c r="G19" s="34" t="str">
        <v>No</v>
      </c>
      <c r="H19" s="34" t="str">
        <v/>
      </c>
    </row>
    <row r="20">
      <c r="A20" s="33" t="str">
        <v>2026-03-05</v>
      </c>
      <c r="B20" s="33" t="str">
        <v>Dijous</v>
      </c>
      <c r="C20" s="33" t="str">
        <v>Nuria Camps</v>
      </c>
      <c r="D20" s="33" t="str">
        <v>Clara Vives</v>
      </c>
      <c r="E20" s="33" t="str">
        <v>f3a</v>
      </c>
      <c r="F20" s="33" t="str">
        <v>SIEI</v>
      </c>
      <c r="G20" s="33" t="str">
        <v>No</v>
      </c>
      <c r="H20" s="33" t="str">
        <v/>
      </c>
    </row>
    <row r="21">
      <c r="A21" s="34" t="str">
        <v>2026-03-05</v>
      </c>
      <c r="B21" s="34" t="str">
        <v>Dijous</v>
      </c>
      <c r="C21" s="34" t="str">
        <v>Nuria Camps</v>
      </c>
      <c r="D21" s="34" t="str">
        <v>Clara Vives</v>
      </c>
      <c r="E21" s="34" t="str">
        <v>f1a</v>
      </c>
      <c r="F21" s="34" t="str">
        <v>SIEI</v>
      </c>
      <c r="G21" s="34" t="str">
        <v>No</v>
      </c>
      <c r="H21" s="34" t="str">
        <v/>
      </c>
    </row>
    <row r="22">
      <c r="A22" s="33" t="str">
        <v>2026-03-10</v>
      </c>
      <c r="B22" s="33" t="str">
        <v>Dimarts</v>
      </c>
      <c r="C22" s="33" t="str">
        <v>Carla Font</v>
      </c>
      <c r="D22" s="33" t="str">
        <v>Sara Prat</v>
      </c>
      <c r="E22" s="33" t="str">
        <v>f1b</v>
      </c>
      <c r="F22" s="33" t="str">
        <v>5eA</v>
      </c>
      <c r="G22" s="33" t="str">
        <v>No</v>
      </c>
      <c r="H22" s="33" t="str">
        <v/>
      </c>
    </row>
    <row r="23">
      <c r="A23" s="34" t="str">
        <v>2026-03-10</v>
      </c>
      <c r="B23" s="34" t="str">
        <v>Dimarts</v>
      </c>
      <c r="C23" s="34" t="str">
        <v>Carla Font</v>
      </c>
      <c r="D23" s="34" t="str">
        <v>Sara Prat</v>
      </c>
      <c r="E23" s="34" t="str">
        <v>f2a</v>
      </c>
      <c r="F23" s="34" t="str">
        <v>5eA</v>
      </c>
      <c r="G23" s="34" t="str">
        <v>No</v>
      </c>
      <c r="H23" s="34" t="str">
        <v/>
      </c>
    </row>
    <row r="24">
      <c r="A24" s="33" t="str">
        <v>2026-03-10</v>
      </c>
      <c r="B24" s="33" t="str">
        <v>Dimarts</v>
      </c>
      <c r="C24" s="33" t="str">
        <v>Carla Font</v>
      </c>
      <c r="D24" s="33" t="str">
        <v>Sara Prat</v>
      </c>
      <c r="E24" s="33" t="str">
        <v>f1a</v>
      </c>
      <c r="F24" s="33" t="str">
        <v>5eA</v>
      </c>
      <c r="G24" s="33" t="str">
        <v>No</v>
      </c>
      <c r="H24" s="33" t="str">
        <v/>
      </c>
    </row>
    <row r="25">
      <c r="A25" s="34" t="str">
        <v>2026-03-17</v>
      </c>
      <c r="B25" s="34" t="str">
        <v>Dimarts</v>
      </c>
      <c r="C25" s="34" t="str">
        <v>Roger Vila</v>
      </c>
      <c r="D25" s="34" t="str">
        <v>David Coma</v>
      </c>
      <c r="E25" s="34" t="str">
        <v>f1b</v>
      </c>
      <c r="F25" s="34" t="str">
        <v>5eB</v>
      </c>
      <c r="G25" s="34" t="str">
        <v>No</v>
      </c>
      <c r="H25" s="34" t="str">
        <v/>
      </c>
    </row>
    <row r="26">
      <c r="A26" s="33" t="str">
        <v>2026-03-17</v>
      </c>
      <c r="B26" s="33" t="str">
        <v>Dimarts</v>
      </c>
      <c r="C26" s="33" t="str">
        <v>Roger Vila</v>
      </c>
      <c r="D26" s="33" t="str">
        <v>David Coma</v>
      </c>
      <c r="E26" s="33" t="str">
        <v>f3a</v>
      </c>
      <c r="F26" s="33" t="str">
        <v>5eB</v>
      </c>
      <c r="G26" s="33" t="str">
        <v>No</v>
      </c>
      <c r="H26" s="33" t="str">
        <v/>
      </c>
    </row>
    <row r="27">
      <c r="A27" s="34" t="str">
        <v>2026-03-17</v>
      </c>
      <c r="B27" s="34" t="str">
        <v>Dimarts</v>
      </c>
      <c r="C27" s="34" t="str">
        <v>Roger Vila</v>
      </c>
      <c r="D27" s="34" t="str">
        <v>David Coma</v>
      </c>
      <c r="E27" s="34" t="str">
        <v>f2a</v>
      </c>
      <c r="F27" s="34" t="str">
        <v>5eB</v>
      </c>
      <c r="G27" s="34" t="str">
        <v>No</v>
      </c>
      <c r="H27" s="34" t="str">
        <v/>
      </c>
    </row>
    <row r="28">
      <c r="A28" s="33" t="str">
        <v>2026-03-17</v>
      </c>
      <c r="B28" s="33" t="str">
        <v>Dimarts</v>
      </c>
      <c r="C28" s="33" t="str">
        <v>Roger Vila</v>
      </c>
      <c r="D28" s="33" t="str">
        <v>David Coma</v>
      </c>
      <c r="E28" s="33" t="str">
        <v>f1a</v>
      </c>
      <c r="F28" s="33" t="str">
        <v>5eB</v>
      </c>
      <c r="G28" s="33" t="str">
        <v>No</v>
      </c>
      <c r="H28" s="33" t="str">
        <v/>
      </c>
    </row>
    <row r="29">
      <c r="A29" s="34" t="str">
        <v>2026-03-24</v>
      </c>
      <c r="B29" s="34" t="str">
        <v>Dimarts</v>
      </c>
      <c r="C29" s="34" t="str">
        <v>Anna Puig</v>
      </c>
      <c r="D29" s="34" t="str">
        <v>Marta Ferrer</v>
      </c>
      <c r="E29" s="34" t="str">
        <v>f1b</v>
      </c>
      <c r="F29" s="34" t="str">
        <v>4tA</v>
      </c>
      <c r="G29" s="34" t="str">
        <v>No</v>
      </c>
      <c r="H29" s="34" t="str">
        <v/>
      </c>
    </row>
    <row r="30">
      <c r="A30" s="33" t="str">
        <v>2026-03-24</v>
      </c>
      <c r="B30" s="33" t="str">
        <v>Dimarts</v>
      </c>
      <c r="C30" s="33" t="str">
        <v>Anna Puig</v>
      </c>
      <c r="D30" s="33" t="str">
        <v>Marta Ferrer</v>
      </c>
      <c r="E30" s="33" t="str">
        <v>f2a</v>
      </c>
      <c r="F30" s="33" t="str">
        <v>4tA</v>
      </c>
      <c r="G30" s="33" t="str">
        <v>No</v>
      </c>
      <c r="H30" s="33" t="str">
        <v/>
      </c>
    </row>
    <row r="31">
      <c r="A31" s="34" t="str">
        <v>2026-03-24</v>
      </c>
      <c r="B31" s="34" t="str">
        <v>Dimarts</v>
      </c>
      <c r="C31" s="34" t="str">
        <v>Anna Puig</v>
      </c>
      <c r="D31" s="34" t="str">
        <v>Marta Ferrer</v>
      </c>
      <c r="E31" s="34" t="str">
        <v>f1a</v>
      </c>
      <c r="F31" s="34" t="str">
        <v>4tA</v>
      </c>
      <c r="G31" s="34" t="str">
        <v>No</v>
      </c>
      <c r="H31" s="34" t="str">
        <v/>
      </c>
    </row>
  </sheetData>
  <mergeCells count="3">
    <mergeCell ref="A1:H1"/>
    <mergeCell ref="A2:H2"/>
    <mergeCell ref="A4:H4"/>
  </mergeCells>
  <ignoredErrors>
    <ignoredError numberStoredAsText="1" sqref="A1:H3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40.83203125" customWidth="1"/>
    <col min="2" max="2" width="10.83203125" customWidth="1"/>
    <col min="3" max="3" width="16.83203125" customWidth="1"/>
    <col min="4" max="4" width="15.83203125" customWidth="1"/>
    <col min="5" max="5" width="33.83203125" customWidth="1"/>
    <col min="6" max="6" width="10.83203125" customWidth="1"/>
    <col min="7" max="7" width="25.83203125" customWidth="1"/>
    <col min="8" max="8" width="24.83203125" customWidth="1"/>
  </cols>
  <sheetData>
    <row r="1" ht="44" customHeight="1">
      <c r="A1" s="36" t="str">
        <v>Escola Demo - HorariaPro</v>
      </c>
      <c r="B1" s="36" t="str">
        <v/>
      </c>
      <c r="C1" s="36" t="str">
        <v/>
      </c>
      <c r="D1" s="36" t="str">
        <v/>
      </c>
      <c r="E1" s="36" t="str">
        <v/>
      </c>
      <c r="F1" s="36" t="str">
        <v/>
      </c>
      <c r="G1" s="36" t="str">
        <v/>
      </c>
      <c r="H1" s="36" t="str">
        <v>Generat per HorariaPro</v>
      </c>
    </row>
    <row r="2" ht="22" customHeight="1">
      <c r="A2" s="6" t="str">
        <v>Curs 2025–2026 · Abril 2026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6" customHeight="1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 ht="24" customHeight="1">
      <c r="A4" s="37" t="str">
        <v>Abril 2026  ·  4 abs. · 14 cob. · 4 docents afectats</v>
      </c>
      <c r="B4" s="37" t="str">
        <v/>
      </c>
      <c r="C4" s="37" t="str">
        <v/>
      </c>
      <c r="D4" s="37" t="str">
        <v/>
      </c>
      <c r="E4" s="37" t="str">
        <v/>
      </c>
      <c r="F4" s="37" t="str">
        <v/>
      </c>
      <c r="G4" s="37" t="str">
        <v/>
      </c>
      <c r="H4" s="37" t="str">
        <v/>
      </c>
    </row>
    <row r="5" ht="6" customHeight="1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8" t="str">
        <v>▸ ABSÈNCIES</v>
      </c>
      <c r="B6" s="38" t="str">
        <v/>
      </c>
      <c r="C6" s="38" t="str">
        <v/>
      </c>
      <c r="D6" s="38" t="str">
        <v/>
      </c>
      <c r="E6" s="38" t="str">
        <v/>
      </c>
      <c r="F6" s="38" t="str">
        <v/>
      </c>
      <c r="G6" s="38" t="str">
        <v/>
      </c>
      <c r="H6" s="38" t="str">
        <v/>
      </c>
    </row>
    <row r="7">
      <c r="A7" s="39" t="str">
        <v>Data</v>
      </c>
      <c r="B7" s="39" t="str">
        <v>Dia</v>
      </c>
      <c r="C7" s="39" t="str">
        <v>Docent</v>
      </c>
      <c r="D7" s="39" t="str">
        <v>Motiu</v>
      </c>
      <c r="E7" s="39" t="str">
        <v>Franges</v>
      </c>
      <c r="F7" s="39" t="str">
        <v>Estat</v>
      </c>
      <c r="G7" s="39" t="str">
        <v>Cobert per</v>
      </c>
      <c r="H7" s="39" t="str">
        <v>Núm. cob.</v>
      </c>
    </row>
    <row r="8">
      <c r="A8" s="33" t="str">
        <v>2026-04-08</v>
      </c>
      <c r="B8" s="33" t="str">
        <v>Dimecres</v>
      </c>
      <c r="C8" s="33" t="str">
        <v>Gemma Tort</v>
      </c>
      <c r="D8" s="33" t="str">
        <v>Malaltia</v>
      </c>
      <c r="E8" s="33" t="str">
        <f>f1b</f>
        <v>f1a</v>
      </c>
      <c r="F8" s="33" t="str">
        <v>Arxivat</v>
      </c>
      <c r="G8" s="33" t="str">
        <v>Carla Font; Jordi Bosch</v>
      </c>
      <c r="H8" s="33">
        <v>5</v>
      </c>
    </row>
    <row r="9">
      <c r="A9" s="34" t="str">
        <v>2026-04-14</v>
      </c>
      <c r="B9" s="34" t="str">
        <v>Dimarts</v>
      </c>
      <c r="C9" s="34" t="str">
        <v>Arnau Sala</v>
      </c>
      <c r="D9" s="34" t="str">
        <v>Visita medica</v>
      </c>
      <c r="E9" s="34" t="str">
        <f>f1b</f>
        <v>f1a</v>
      </c>
      <c r="F9" s="34" t="str">
        <v>Arxivat</v>
      </c>
      <c r="G9" s="34" t="str">
        <v>Elisabet Roca</v>
      </c>
      <c r="H9" s="34">
        <v>2</v>
      </c>
    </row>
    <row r="10">
      <c r="A10" s="33" t="str">
        <v>2026-04-16</v>
      </c>
      <c r="B10" s="33" t="str">
        <v>Dijous</v>
      </c>
      <c r="C10" s="33" t="str">
        <v>Aurora Pons</v>
      </c>
      <c r="D10" s="33" t="str">
        <v>Visita medica</v>
      </c>
      <c r="E10" s="33" t="str">
        <f>f1b</f>
        <v>f1a</v>
      </c>
      <c r="F10" s="33" t="str">
        <v>Arxivat</v>
      </c>
      <c r="G10" s="33" t="str">
        <v>Nuria Camps</v>
      </c>
      <c r="H10" s="33">
        <v>2</v>
      </c>
    </row>
    <row r="11">
      <c r="A11" s="34" t="str">
        <v>2026-04-22</v>
      </c>
      <c r="B11" s="34" t="str">
        <v>Dimecres</v>
      </c>
      <c r="C11" s="34" t="str">
        <v>Pau Esteve</v>
      </c>
      <c r="D11" s="34" t="str">
        <v>Malaltia</v>
      </c>
      <c r="E11" s="34" t="str">
        <f>f1b</f>
        <v>f1a</v>
      </c>
      <c r="F11" s="34" t="str">
        <v>Arxivat</v>
      </c>
      <c r="G11" s="34" t="str">
        <v>Marc Vidal; Sara Prat</v>
      </c>
      <c r="H11" s="34">
        <v>5</v>
      </c>
    </row>
    <row r="12">
      <c r="A12" s="33" t="str">
        <v/>
      </c>
      <c r="B12" s="33" t="str">
        <v/>
      </c>
      <c r="C12" s="33" t="str">
        <v/>
      </c>
      <c r="D12" s="33" t="str">
        <v/>
      </c>
      <c r="E12" s="33" t="str">
        <v/>
      </c>
      <c r="F12" s="33" t="str">
        <v/>
      </c>
      <c r="G12" s="33" t="str">
        <v/>
      </c>
      <c r="H12" s="33" t="str">
        <v/>
      </c>
    </row>
    <row r="13">
      <c r="A13" s="40" t="str">
        <v>▸ COBERTURES</v>
      </c>
      <c r="B13" s="40" t="str">
        <v/>
      </c>
      <c r="C13" s="40" t="str">
        <v/>
      </c>
      <c r="D13" s="40" t="str">
        <v/>
      </c>
      <c r="E13" s="40" t="str">
        <v/>
      </c>
      <c r="F13" s="40" t="str">
        <v/>
      </c>
      <c r="G13" s="40" t="str">
        <v/>
      </c>
      <c r="H13" s="40" t="str">
        <v/>
      </c>
    </row>
    <row r="14">
      <c r="A14" s="41" t="str">
        <v>Data</v>
      </c>
      <c r="B14" s="41" t="str">
        <v>Dia</v>
      </c>
      <c r="C14" s="41" t="str">
        <v>Docent cobrint</v>
      </c>
      <c r="D14" s="41" t="str">
        <v>Docent absent</v>
      </c>
      <c r="E14" s="41" t="str">
        <v>Franja</v>
      </c>
      <c r="F14" s="41" t="str">
        <v>Grup</v>
      </c>
      <c r="G14" s="41" t="str">
        <v>TP afectat</v>
      </c>
      <c r="H14" s="41" t="str">
        <v/>
      </c>
    </row>
    <row r="15">
      <c r="A15" s="34" t="str">
        <v>2026-04-08</v>
      </c>
      <c r="B15" s="34" t="str">
        <v>Dimecres</v>
      </c>
      <c r="C15" s="34" t="str">
        <v>Carla Font</v>
      </c>
      <c r="D15" s="34" t="str">
        <v>Gemma Tort</v>
      </c>
      <c r="E15" s="34" t="str">
        <v>f3a</v>
      </c>
      <c r="F15" s="34" t="str">
        <v>EF</v>
      </c>
      <c r="G15" s="34" t="str">
        <v>No</v>
      </c>
      <c r="H15" s="34" t="str">
        <v/>
      </c>
    </row>
    <row r="16">
      <c r="A16" s="33" t="str">
        <v>2026-04-08</v>
      </c>
      <c r="B16" s="33" t="str">
        <v>Dimecres</v>
      </c>
      <c r="C16" s="33" t="str">
        <v>Jordi Bosch</v>
      </c>
      <c r="D16" s="33" t="str">
        <v>Gemma Tort</v>
      </c>
      <c r="E16" s="33" t="str">
        <v>f2a</v>
      </c>
      <c r="F16" s="33" t="str">
        <v>EF</v>
      </c>
      <c r="G16" s="33" t="str">
        <v>No</v>
      </c>
      <c r="H16" s="33" t="str">
        <v/>
      </c>
    </row>
    <row r="17">
      <c r="A17" s="34" t="str">
        <v>2026-04-08</v>
      </c>
      <c r="B17" s="34" t="str">
        <v>Dimecres</v>
      </c>
      <c r="C17" s="34" t="str">
        <v>Jordi Bosch</v>
      </c>
      <c r="D17" s="34" t="str">
        <v>Gemma Tort</v>
      </c>
      <c r="E17" s="34" t="str">
        <v>f1b</v>
      </c>
      <c r="F17" s="34" t="str">
        <v>EF</v>
      </c>
      <c r="G17" s="34" t="str">
        <v>No</v>
      </c>
      <c r="H17" s="34" t="str">
        <v/>
      </c>
    </row>
    <row r="18">
      <c r="A18" s="33" t="str">
        <v>2026-04-08</v>
      </c>
      <c r="B18" s="33" t="str">
        <v>Dimecres</v>
      </c>
      <c r="C18" s="33" t="str">
        <v>Carla Font</v>
      </c>
      <c r="D18" s="33" t="str">
        <v>Gemma Tort</v>
      </c>
      <c r="E18" s="33" t="str">
        <v>f3b</v>
      </c>
      <c r="F18" s="33" t="str">
        <v>EF</v>
      </c>
      <c r="G18" s="33" t="str">
        <v>No</v>
      </c>
      <c r="H18" s="33" t="str">
        <v/>
      </c>
    </row>
    <row r="19">
      <c r="A19" s="34" t="str">
        <v>2026-04-08</v>
      </c>
      <c r="B19" s="34" t="str">
        <v>Dimecres</v>
      </c>
      <c r="C19" s="34" t="str">
        <v>Jordi Bosch</v>
      </c>
      <c r="D19" s="34" t="str">
        <v>Gemma Tort</v>
      </c>
      <c r="E19" s="34" t="str">
        <v>f1a</v>
      </c>
      <c r="F19" s="34" t="str">
        <v>EF</v>
      </c>
      <c r="G19" s="34" t="str">
        <v>No</v>
      </c>
      <c r="H19" s="34" t="str">
        <v/>
      </c>
    </row>
    <row r="20">
      <c r="A20" s="33" t="str">
        <v>2026-04-14</v>
      </c>
      <c r="B20" s="33" t="str">
        <v>Dimarts</v>
      </c>
      <c r="C20" s="33" t="str">
        <v>Elisabet Roca</v>
      </c>
      <c r="D20" s="33" t="str">
        <v>Arnau Sala</v>
      </c>
      <c r="E20" s="33" t="str">
        <v>f1b</v>
      </c>
      <c r="F20" s="33" t="str">
        <v>6eB</v>
      </c>
      <c r="G20" s="33" t="str">
        <v>No</v>
      </c>
      <c r="H20" s="33" t="str">
        <v/>
      </c>
    </row>
    <row r="21">
      <c r="A21" s="34" t="str">
        <v>2026-04-14</v>
      </c>
      <c r="B21" s="34" t="str">
        <v>Dimarts</v>
      </c>
      <c r="C21" s="34" t="str">
        <v>Elisabet Roca</v>
      </c>
      <c r="D21" s="34" t="str">
        <v>Arnau Sala</v>
      </c>
      <c r="E21" s="34" t="str">
        <v>f1a</v>
      </c>
      <c r="F21" s="34" t="str">
        <v>6eB</v>
      </c>
      <c r="G21" s="34" t="str">
        <v>No</v>
      </c>
      <c r="H21" s="34" t="str">
        <v/>
      </c>
    </row>
    <row r="22">
      <c r="A22" s="33" t="str">
        <v>2026-04-16</v>
      </c>
      <c r="B22" s="33" t="str">
        <v>Dijous</v>
      </c>
      <c r="C22" s="33" t="str">
        <v>Nuria Camps</v>
      </c>
      <c r="D22" s="33" t="str">
        <v>Aurora Pons</v>
      </c>
      <c r="E22" s="33" t="str">
        <v>f2a</v>
      </c>
      <c r="F22" s="33" t="str">
        <v>SIEI+</v>
      </c>
      <c r="G22" s="33" t="str">
        <v>No</v>
      </c>
      <c r="H22" s="33" t="str">
        <v/>
      </c>
    </row>
    <row r="23">
      <c r="A23" s="34" t="str">
        <v>2026-04-16</v>
      </c>
      <c r="B23" s="34" t="str">
        <v>Dijous</v>
      </c>
      <c r="C23" s="34" t="str">
        <v>Nuria Camps</v>
      </c>
      <c r="D23" s="34" t="str">
        <v>Aurora Pons</v>
      </c>
      <c r="E23" s="34" t="str">
        <v>f1a</v>
      </c>
      <c r="F23" s="34" t="str">
        <v>SIEI+</v>
      </c>
      <c r="G23" s="34" t="str">
        <v>No</v>
      </c>
      <c r="H23" s="34" t="str">
        <v/>
      </c>
    </row>
    <row r="24">
      <c r="A24" s="33" t="str">
        <v>2026-04-22</v>
      </c>
      <c r="B24" s="33" t="str">
        <v>Dimecres</v>
      </c>
      <c r="C24" s="33" t="str">
        <v>Marc Vidal</v>
      </c>
      <c r="D24" s="33" t="str">
        <v>Pau Esteve</v>
      </c>
      <c r="E24" s="33" t="str">
        <v>f1b</v>
      </c>
      <c r="F24" s="33" t="str">
        <v>Angles</v>
      </c>
      <c r="G24" s="33" t="str">
        <v>No</v>
      </c>
      <c r="H24" s="33" t="str">
        <v/>
      </c>
    </row>
    <row r="25">
      <c r="A25" s="34" t="str">
        <v>2026-04-22</v>
      </c>
      <c r="B25" s="34" t="str">
        <v>Dimecres</v>
      </c>
      <c r="C25" s="34" t="str">
        <v>Sara Prat</v>
      </c>
      <c r="D25" s="34" t="str">
        <v>Pau Esteve</v>
      </c>
      <c r="E25" s="34" t="str">
        <v>f3b</v>
      </c>
      <c r="F25" s="34" t="str">
        <v>Angles</v>
      </c>
      <c r="G25" s="34" t="str">
        <v>Sí</v>
      </c>
      <c r="H25" s="34" t="str">
        <v/>
      </c>
    </row>
    <row r="26">
      <c r="A26" s="33" t="str">
        <v>2026-04-22</v>
      </c>
      <c r="B26" s="33" t="str">
        <v>Dimecres</v>
      </c>
      <c r="C26" s="33" t="str">
        <v>Sara Prat</v>
      </c>
      <c r="D26" s="33" t="str">
        <v>Pau Esteve</v>
      </c>
      <c r="E26" s="33" t="str">
        <v>f3a</v>
      </c>
      <c r="F26" s="33" t="str">
        <v>Angles</v>
      </c>
      <c r="G26" s="33" t="str">
        <v>Sí</v>
      </c>
      <c r="H26" s="33" t="str">
        <v/>
      </c>
    </row>
    <row r="27">
      <c r="A27" s="34" t="str">
        <v>2026-04-22</v>
      </c>
      <c r="B27" s="34" t="str">
        <v>Dimecres</v>
      </c>
      <c r="C27" s="34" t="str">
        <v>Marc Vidal</v>
      </c>
      <c r="D27" s="34" t="str">
        <v>Pau Esteve</v>
      </c>
      <c r="E27" s="34" t="str">
        <v>f2a</v>
      </c>
      <c r="F27" s="34" t="str">
        <v>Angles</v>
      </c>
      <c r="G27" s="34" t="str">
        <v>No</v>
      </c>
      <c r="H27" s="34" t="str">
        <v/>
      </c>
    </row>
    <row r="28">
      <c r="A28" s="33" t="str">
        <v>2026-04-22</v>
      </c>
      <c r="B28" s="33" t="str">
        <v>Dimecres</v>
      </c>
      <c r="C28" s="33" t="str">
        <v>Marc Vidal</v>
      </c>
      <c r="D28" s="33" t="str">
        <v>Pau Esteve</v>
      </c>
      <c r="E28" s="33" t="str">
        <v>f1a</v>
      </c>
      <c r="F28" s="33" t="str">
        <v>Angles</v>
      </c>
      <c r="G28" s="33" t="str">
        <v>No</v>
      </c>
      <c r="H28" s="33" t="str">
        <v/>
      </c>
    </row>
  </sheetData>
  <mergeCells count="3">
    <mergeCell ref="A1:H1"/>
    <mergeCell ref="A2:H2"/>
    <mergeCell ref="A4:H4"/>
  </mergeCells>
  <ignoredErrors>
    <ignoredError numberStoredAsText="1" sqref="A1:H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cols>
    <col min="1" max="1" width="40.83203125" customWidth="1"/>
    <col min="2" max="2" width="11.83203125" customWidth="1"/>
    <col min="3" max="3" width="16.83203125" customWidth="1"/>
    <col min="4" max="4" width="23.83203125" customWidth="1"/>
    <col min="5" max="5" width="40.83203125" customWidth="1"/>
    <col min="6" max="6" width="10.83203125" customWidth="1"/>
    <col min="7" max="7" width="14.83203125" customWidth="1"/>
    <col min="8" max="8" width="24.83203125" customWidth="1"/>
  </cols>
  <sheetData>
    <row r="1" ht="44" customHeight="1">
      <c r="A1" s="36" t="str">
        <v>Escola Demo - HorariaPro</v>
      </c>
      <c r="B1" s="36" t="str">
        <v/>
      </c>
      <c r="C1" s="36" t="str">
        <v/>
      </c>
      <c r="D1" s="36" t="str">
        <v/>
      </c>
      <c r="E1" s="36" t="str">
        <v/>
      </c>
      <c r="F1" s="36" t="str">
        <v/>
      </c>
      <c r="G1" s="36" t="str">
        <v/>
      </c>
      <c r="H1" s="36" t="str">
        <v>Generat per HorariaPro</v>
      </c>
    </row>
    <row r="2" ht="22" customHeight="1">
      <c r="A2" s="6" t="str">
        <v>Curs 2025–2026 · Maig 2026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6" customHeight="1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 ht="24" customHeight="1">
      <c r="A4" s="37" t="str">
        <v>Maig 2026  ·  6 abs. · 19 cob. · 6 docents afectats</v>
      </c>
      <c r="B4" s="37" t="str">
        <v/>
      </c>
      <c r="C4" s="37" t="str">
        <v/>
      </c>
      <c r="D4" s="37" t="str">
        <v/>
      </c>
      <c r="E4" s="37" t="str">
        <v/>
      </c>
      <c r="F4" s="37" t="str">
        <v/>
      </c>
      <c r="G4" s="37" t="str">
        <v/>
      </c>
      <c r="H4" s="37" t="str">
        <v/>
      </c>
    </row>
    <row r="5" ht="6" customHeight="1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8" t="str">
        <v>▸ ABSÈNCIES</v>
      </c>
      <c r="B6" s="38" t="str">
        <v/>
      </c>
      <c r="C6" s="38" t="str">
        <v/>
      </c>
      <c r="D6" s="38" t="str">
        <v/>
      </c>
      <c r="E6" s="38" t="str">
        <v/>
      </c>
      <c r="F6" s="38" t="str">
        <v/>
      </c>
      <c r="G6" s="38" t="str">
        <v/>
      </c>
      <c r="H6" s="38" t="str">
        <v/>
      </c>
    </row>
    <row r="7">
      <c r="A7" s="39" t="str">
        <v>Data</v>
      </c>
      <c r="B7" s="39" t="str">
        <v>Dia</v>
      </c>
      <c r="C7" s="39" t="str">
        <v>Docent</v>
      </c>
      <c r="D7" s="39" t="str">
        <v>Motiu</v>
      </c>
      <c r="E7" s="39" t="str">
        <v>Franges</v>
      </c>
      <c r="F7" s="39" t="str">
        <v>Estat</v>
      </c>
      <c r="G7" s="39" t="str">
        <v>Cobert per</v>
      </c>
      <c r="H7" s="39" t="str">
        <v>Núm. cob.</v>
      </c>
    </row>
    <row r="8">
      <c r="A8" s="33" t="str">
        <v>2026-05-05</v>
      </c>
      <c r="B8" s="33" t="str">
        <v>Dimarts</v>
      </c>
      <c r="C8" s="33" t="str">
        <v>Anna Puig</v>
      </c>
      <c r="D8" s="33" t="str">
        <v>Malaltia</v>
      </c>
      <c r="E8" s="33" t="str">
        <f>f1b</f>
        <v>f1a</v>
      </c>
      <c r="F8" s="33" t="str">
        <v>Arxivat</v>
      </c>
      <c r="G8" s="33" t="str">
        <v>Nuria Camps</v>
      </c>
      <c r="H8" s="33">
        <v>5</v>
      </c>
    </row>
    <row r="9">
      <c r="A9" s="34" t="str">
        <v>2026-05-12</v>
      </c>
      <c r="B9" s="34" t="str">
        <v>Dimarts</v>
      </c>
      <c r="C9" s="34" t="str">
        <v>Jordi Bosch</v>
      </c>
      <c r="D9" s="34" t="str">
        <v>Visita medica</v>
      </c>
      <c r="E9" s="34" t="str">
        <f>f1b</f>
        <v>f1a</v>
      </c>
      <c r="F9" s="34" t="str">
        <v>Arxivat</v>
      </c>
      <c r="G9" s="34" t="str">
        <v>Gemma Tort</v>
      </c>
      <c r="H9" s="34">
        <v>2</v>
      </c>
    </row>
    <row r="10">
      <c r="A10" s="33" t="str">
        <v>2026-05-19</v>
      </c>
      <c r="B10" s="33" t="str">
        <v>Dimarts</v>
      </c>
      <c r="C10" s="33" t="str">
        <v>Laia Ros</v>
      </c>
      <c r="D10" s="33" t="str">
        <v>Malaltia</v>
      </c>
      <c r="E10" s="33" t="str">
        <f>f1b</f>
        <v>f1a</v>
      </c>
      <c r="F10" s="33" t="str">
        <v>Arxivat</v>
      </c>
      <c r="G10" s="33" t="str">
        <v>Marta Ferrer</v>
      </c>
      <c r="H10" s="33">
        <v>3</v>
      </c>
    </row>
    <row r="11">
      <c r="A11" s="34" t="str">
        <v>2026-05-20</v>
      </c>
      <c r="B11" s="34" t="str">
        <v>Dimecres</v>
      </c>
      <c r="C11" s="34" t="str">
        <v>Marc Vidal</v>
      </c>
      <c r="D11" s="34" t="str">
        <v>Permis matrimoni fill</v>
      </c>
      <c r="E11" s="34" t="str">
        <f>f1b</f>
        <v>f1a</v>
      </c>
      <c r="F11" s="34" t="str">
        <v>Arxivat</v>
      </c>
      <c r="G11" s="34" t="str">
        <v>Arnau Sala</v>
      </c>
      <c r="H11" s="34">
        <v>7</v>
      </c>
    </row>
    <row r="12">
      <c r="A12" s="33" t="str">
        <v>2026-05-21</v>
      </c>
      <c r="B12" s="33" t="str">
        <v>Dijous</v>
      </c>
      <c r="C12" s="33" t="str">
        <v>Pere Mas</v>
      </c>
      <c r="D12" s="33" t="str">
        <v>Malaltia</v>
      </c>
      <c r="E12" s="33" t="str">
        <f>f1b</f>
        <v>f1a</v>
      </c>
      <c r="F12" s="33" t="str">
        <v>Arxivat</v>
      </c>
      <c r="G12" s="33" t="str">
        <v/>
      </c>
      <c r="H12" s="33">
        <v>0</v>
      </c>
    </row>
    <row r="13">
      <c r="A13" s="34" t="str">
        <v>2026-05-22</v>
      </c>
      <c r="B13" s="34" t="str">
        <v>Divendres</v>
      </c>
      <c r="C13" s="34" t="str">
        <v>Clara Vives</v>
      </c>
      <c r="D13" s="34" t="str">
        <v>Visita medica</v>
      </c>
      <c r="E13" s="34" t="str">
        <f>f1b</f>
        <v>f1a</v>
      </c>
      <c r="F13" s="34" t="str">
        <v>Arxivat</v>
      </c>
      <c r="G13" s="34" t="str">
        <v>Nuria Camps</v>
      </c>
      <c r="H13" s="34">
        <v>2</v>
      </c>
    </row>
    <row r="14">
      <c r="A14" s="33" t="str">
        <v/>
      </c>
      <c r="B14" s="33" t="str">
        <v/>
      </c>
      <c r="C14" s="33" t="str">
        <v/>
      </c>
      <c r="D14" s="33" t="str">
        <v/>
      </c>
      <c r="E14" s="33" t="str">
        <v/>
      </c>
      <c r="F14" s="33" t="str">
        <v/>
      </c>
      <c r="G14" s="33" t="str">
        <v/>
      </c>
      <c r="H14" s="33" t="str">
        <v/>
      </c>
    </row>
    <row r="15">
      <c r="A15" s="40" t="str">
        <v>▸ COBERTURES</v>
      </c>
      <c r="B15" s="40" t="str">
        <v/>
      </c>
      <c r="C15" s="40" t="str">
        <v/>
      </c>
      <c r="D15" s="40" t="str">
        <v/>
      </c>
      <c r="E15" s="40" t="str">
        <v/>
      </c>
      <c r="F15" s="40" t="str">
        <v/>
      </c>
      <c r="G15" s="40" t="str">
        <v/>
      </c>
      <c r="H15" s="40" t="str">
        <v/>
      </c>
    </row>
    <row r="16">
      <c r="A16" s="41" t="str">
        <v>Data</v>
      </c>
      <c r="B16" s="41" t="str">
        <v>Dia</v>
      </c>
      <c r="C16" s="41" t="str">
        <v>Docent cobrint</v>
      </c>
      <c r="D16" s="41" t="str">
        <v>Docent absent</v>
      </c>
      <c r="E16" s="41" t="str">
        <v>Franja</v>
      </c>
      <c r="F16" s="41" t="str">
        <v>Grup</v>
      </c>
      <c r="G16" s="41" t="str">
        <v>TP afectat</v>
      </c>
      <c r="H16" s="41" t="str">
        <v/>
      </c>
    </row>
    <row r="17">
      <c r="A17" s="34" t="str">
        <v>2026-05-05</v>
      </c>
      <c r="B17" s="34" t="str">
        <v>Dimarts</v>
      </c>
      <c r="C17" s="34" t="str">
        <v>Nuria Camps</v>
      </c>
      <c r="D17" s="34" t="str">
        <v>Anna Puig</v>
      </c>
      <c r="E17" s="34" t="str">
        <v>f1b</v>
      </c>
      <c r="F17" s="34" t="str">
        <v>3rA</v>
      </c>
      <c r="G17" s="34" t="str">
        <v>No</v>
      </c>
      <c r="H17" s="34" t="str">
        <v/>
      </c>
    </row>
    <row r="18">
      <c r="A18" s="33" t="str">
        <v>2026-05-05</v>
      </c>
      <c r="B18" s="33" t="str">
        <v>Dimarts</v>
      </c>
      <c r="C18" s="33" t="str">
        <v>Nuria Camps</v>
      </c>
      <c r="D18" s="33" t="str">
        <v>Anna Puig</v>
      </c>
      <c r="E18" s="33" t="str">
        <v>f3b</v>
      </c>
      <c r="F18" s="33" t="str">
        <v>3rA</v>
      </c>
      <c r="G18" s="33" t="str">
        <v>No</v>
      </c>
      <c r="H18" s="33" t="str">
        <v/>
      </c>
    </row>
    <row r="19">
      <c r="A19" s="34" t="str">
        <v>2026-05-05</v>
      </c>
      <c r="B19" s="34" t="str">
        <v>Dimarts</v>
      </c>
      <c r="C19" s="34" t="str">
        <v>Nuria Camps</v>
      </c>
      <c r="D19" s="34" t="str">
        <v>Anna Puig</v>
      </c>
      <c r="E19" s="34" t="str">
        <v>f3a</v>
      </c>
      <c r="F19" s="34" t="str">
        <v>3rA</v>
      </c>
      <c r="G19" s="34" t="str">
        <v>No</v>
      </c>
      <c r="H19" s="34" t="str">
        <v/>
      </c>
    </row>
    <row r="20">
      <c r="A20" s="33" t="str">
        <v>2026-05-05</v>
      </c>
      <c r="B20" s="33" t="str">
        <v>Dimarts</v>
      </c>
      <c r="C20" s="33" t="str">
        <v>Nuria Camps</v>
      </c>
      <c r="D20" s="33" t="str">
        <v>Anna Puig</v>
      </c>
      <c r="E20" s="33" t="str">
        <v>f2a</v>
      </c>
      <c r="F20" s="33" t="str">
        <v>3rA</v>
      </c>
      <c r="G20" s="33" t="str">
        <v>No</v>
      </c>
      <c r="H20" s="33" t="str">
        <v/>
      </c>
    </row>
    <row r="21">
      <c r="A21" s="34" t="str">
        <v>2026-05-05</v>
      </c>
      <c r="B21" s="34" t="str">
        <v>Dimarts</v>
      </c>
      <c r="C21" s="34" t="str">
        <v>Nuria Camps</v>
      </c>
      <c r="D21" s="34" t="str">
        <v>Anna Puig</v>
      </c>
      <c r="E21" s="34" t="str">
        <v>f1a</v>
      </c>
      <c r="F21" s="34" t="str">
        <v>3rA</v>
      </c>
      <c r="G21" s="34" t="str">
        <v>No</v>
      </c>
      <c r="H21" s="34" t="str">
        <v/>
      </c>
    </row>
    <row r="22">
      <c r="A22" s="33" t="str">
        <v>2026-05-12</v>
      </c>
      <c r="B22" s="33" t="str">
        <v>Dimarts</v>
      </c>
      <c r="C22" s="33" t="str">
        <v>Gemma Tort</v>
      </c>
      <c r="D22" s="33" t="str">
        <v>Jordi Bosch</v>
      </c>
      <c r="E22" s="33" t="str">
        <v>f1b</v>
      </c>
      <c r="F22" s="33" t="str">
        <v>2nB</v>
      </c>
      <c r="G22" s="33" t="str">
        <v>No</v>
      </c>
      <c r="H22" s="33" t="str">
        <v/>
      </c>
    </row>
    <row r="23">
      <c r="A23" s="34" t="str">
        <v>2026-05-12</v>
      </c>
      <c r="B23" s="34" t="str">
        <v>Dimarts</v>
      </c>
      <c r="C23" s="34" t="str">
        <v>Gemma Tort</v>
      </c>
      <c r="D23" s="34" t="str">
        <v>Jordi Bosch</v>
      </c>
      <c r="E23" s="34" t="str">
        <v>f1a</v>
      </c>
      <c r="F23" s="34" t="str">
        <v>2nB</v>
      </c>
      <c r="G23" s="34" t="str">
        <v>No</v>
      </c>
      <c r="H23" s="34" t="str">
        <v/>
      </c>
    </row>
    <row r="24">
      <c r="A24" s="33" t="str">
        <v>2026-05-19</v>
      </c>
      <c r="B24" s="33" t="str">
        <v>Dimarts</v>
      </c>
      <c r="C24" s="33" t="str">
        <v>Marta Ferrer</v>
      </c>
      <c r="D24" s="33" t="str">
        <v>Laia Ros</v>
      </c>
      <c r="E24" s="33" t="str">
        <v>f1b</v>
      </c>
      <c r="F24" s="33" t="str">
        <v>1rA</v>
      </c>
      <c r="G24" s="33" t="str">
        <v>No</v>
      </c>
      <c r="H24" s="33" t="str">
        <v/>
      </c>
    </row>
    <row r="25">
      <c r="A25" s="34" t="str">
        <v>2026-05-19</v>
      </c>
      <c r="B25" s="34" t="str">
        <v>Dimarts</v>
      </c>
      <c r="C25" s="34" t="str">
        <v>Marta Ferrer</v>
      </c>
      <c r="D25" s="34" t="str">
        <v>Laia Ros</v>
      </c>
      <c r="E25" s="34" t="str">
        <v>f2a</v>
      </c>
      <c r="F25" s="34" t="str">
        <v>1rA</v>
      </c>
      <c r="G25" s="34" t="str">
        <v>No</v>
      </c>
      <c r="H25" s="34" t="str">
        <v/>
      </c>
    </row>
    <row r="26">
      <c r="A26" s="33" t="str">
        <v>2026-05-19</v>
      </c>
      <c r="B26" s="33" t="str">
        <v>Dimarts</v>
      </c>
      <c r="C26" s="33" t="str">
        <v>Marta Ferrer</v>
      </c>
      <c r="D26" s="33" t="str">
        <v>Laia Ros</v>
      </c>
      <c r="E26" s="33" t="str">
        <v>f1a</v>
      </c>
      <c r="F26" s="33" t="str">
        <v>1rA</v>
      </c>
      <c r="G26" s="33" t="str">
        <v>No</v>
      </c>
      <c r="H26" s="33" t="str">
        <v/>
      </c>
    </row>
    <row r="27">
      <c r="A27" s="34" t="str">
        <v>2026-05-20</v>
      </c>
      <c r="B27" s="34" t="str">
        <v>Dimecres</v>
      </c>
      <c r="C27" s="34" t="str">
        <v>Arnau Sala</v>
      </c>
      <c r="D27" s="34" t="str">
        <v>Marc Vidal</v>
      </c>
      <c r="E27" s="34" t="str">
        <v>f1b</v>
      </c>
      <c r="F27" s="34" t="str">
        <v>3rB</v>
      </c>
      <c r="G27" s="34" t="str">
        <v>No</v>
      </c>
      <c r="H27" s="34" t="str">
        <v/>
      </c>
    </row>
    <row r="28">
      <c r="A28" s="33" t="str">
        <v>2026-05-20</v>
      </c>
      <c r="B28" s="33" t="str">
        <v>Dimecres</v>
      </c>
      <c r="C28" s="33" t="str">
        <v>Arnau Sala</v>
      </c>
      <c r="D28" s="33" t="str">
        <v>Marc Vidal</v>
      </c>
      <c r="E28" s="33" t="str">
        <v>f5b</v>
      </c>
      <c r="F28" s="33" t="str">
        <v>3rB</v>
      </c>
      <c r="G28" s="33" t="str">
        <v>Sí</v>
      </c>
      <c r="H28" s="33" t="str">
        <v/>
      </c>
    </row>
    <row r="29">
      <c r="A29" s="34" t="str">
        <v>2026-05-20</v>
      </c>
      <c r="B29" s="34" t="str">
        <v>Dimecres</v>
      </c>
      <c r="C29" s="34" t="str">
        <v>Arnau Sala</v>
      </c>
      <c r="D29" s="34" t="str">
        <v>Marc Vidal</v>
      </c>
      <c r="E29" s="34" t="str">
        <v>f5a</v>
      </c>
      <c r="F29" s="34" t="str">
        <v>3rB</v>
      </c>
      <c r="G29" s="34" t="str">
        <v>Sí</v>
      </c>
      <c r="H29" s="34" t="str">
        <v/>
      </c>
    </row>
    <row r="30">
      <c r="A30" s="33" t="str">
        <v>2026-05-20</v>
      </c>
      <c r="B30" s="33" t="str">
        <v>Dimecres</v>
      </c>
      <c r="C30" s="33" t="str">
        <v>Arnau Sala</v>
      </c>
      <c r="D30" s="33" t="str">
        <v>Marc Vidal</v>
      </c>
      <c r="E30" s="33" t="str">
        <v>f3b</v>
      </c>
      <c r="F30" s="33" t="str">
        <v>3rB</v>
      </c>
      <c r="G30" s="33" t="str">
        <v>No</v>
      </c>
      <c r="H30" s="33" t="str">
        <v/>
      </c>
    </row>
    <row r="31">
      <c r="A31" s="34" t="str">
        <v>2026-05-20</v>
      </c>
      <c r="B31" s="34" t="str">
        <v>Dimecres</v>
      </c>
      <c r="C31" s="34" t="str">
        <v>Arnau Sala</v>
      </c>
      <c r="D31" s="34" t="str">
        <v>Marc Vidal</v>
      </c>
      <c r="E31" s="34" t="str">
        <v>f3a</v>
      </c>
      <c r="F31" s="34" t="str">
        <v>3rB</v>
      </c>
      <c r="G31" s="34" t="str">
        <v>No</v>
      </c>
      <c r="H31" s="34" t="str">
        <v/>
      </c>
    </row>
    <row r="32">
      <c r="A32" s="33" t="str">
        <v>2026-05-20</v>
      </c>
      <c r="B32" s="33" t="str">
        <v>Dimecres</v>
      </c>
      <c r="C32" s="33" t="str">
        <v>Arnau Sala</v>
      </c>
      <c r="D32" s="33" t="str">
        <v>Marc Vidal</v>
      </c>
      <c r="E32" s="33" t="str">
        <v>f2a</v>
      </c>
      <c r="F32" s="33" t="str">
        <v>3rB</v>
      </c>
      <c r="G32" s="33" t="str">
        <v>No</v>
      </c>
      <c r="H32" s="33" t="str">
        <v/>
      </c>
    </row>
    <row r="33">
      <c r="A33" s="34" t="str">
        <v>2026-05-20</v>
      </c>
      <c r="B33" s="34" t="str">
        <v>Dimecres</v>
      </c>
      <c r="C33" s="34" t="str">
        <v>Arnau Sala</v>
      </c>
      <c r="D33" s="34" t="str">
        <v>Marc Vidal</v>
      </c>
      <c r="E33" s="34" t="str">
        <v>f1a</v>
      </c>
      <c r="F33" s="34" t="str">
        <v>3rB</v>
      </c>
      <c r="G33" s="34" t="str">
        <v>No</v>
      </c>
      <c r="H33" s="34" t="str">
        <v/>
      </c>
    </row>
    <row r="34">
      <c r="A34" s="33" t="str">
        <v>2026-05-22</v>
      </c>
      <c r="B34" s="33" t="str">
        <v>Divendres</v>
      </c>
      <c r="C34" s="33" t="str">
        <v>Nuria Camps</v>
      </c>
      <c r="D34" s="33" t="str">
        <v>Clara Vives</v>
      </c>
      <c r="E34" s="33" t="str">
        <v>f1b</v>
      </c>
      <c r="F34" s="33" t="str">
        <v>SIEI</v>
      </c>
      <c r="G34" s="33" t="str">
        <v>No</v>
      </c>
      <c r="H34" s="33" t="str">
        <v/>
      </c>
    </row>
    <row r="35">
      <c r="A35" s="34" t="str">
        <v>2026-05-22</v>
      </c>
      <c r="B35" s="34" t="str">
        <v>Divendres</v>
      </c>
      <c r="C35" s="34" t="str">
        <v>Nuria Camps</v>
      </c>
      <c r="D35" s="34" t="str">
        <v>Clara Vives</v>
      </c>
      <c r="E35" s="34" t="str">
        <v>f1a</v>
      </c>
      <c r="F35" s="34" t="str">
        <v>SIEI</v>
      </c>
      <c r="G35" s="34" t="str">
        <v>No</v>
      </c>
      <c r="H35" s="34" t="str">
        <v/>
      </c>
    </row>
  </sheetData>
  <mergeCells count="3">
    <mergeCell ref="A1:H1"/>
    <mergeCell ref="A2:H2"/>
    <mergeCell ref="A4:H4"/>
  </mergeCells>
  <ignoredErrors>
    <ignoredError numberStoredAsText="1" sqref="A1:H3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40.83203125" customWidth="1"/>
    <col min="2" max="2" width="11.83203125" customWidth="1"/>
    <col min="3" max="3" width="16.83203125" customWidth="1"/>
    <col min="4" max="4" width="39.83203125" customWidth="1"/>
    <col min="5" max="5" width="40.83203125" customWidth="1"/>
    <col min="6" max="6" width="10.83203125" customWidth="1"/>
    <col min="7" max="7" width="14.83203125" customWidth="1"/>
    <col min="8" max="8" width="24.83203125" customWidth="1"/>
  </cols>
  <sheetData>
    <row r="1" ht="44" customHeight="1">
      <c r="A1" s="36" t="str">
        <v>Escola Demo - HorariaPro</v>
      </c>
      <c r="B1" s="36" t="str">
        <v/>
      </c>
      <c r="C1" s="36" t="str">
        <v/>
      </c>
      <c r="D1" s="36" t="str">
        <v/>
      </c>
      <c r="E1" s="36" t="str">
        <v/>
      </c>
      <c r="F1" s="36" t="str">
        <v/>
      </c>
      <c r="G1" s="36" t="str">
        <v/>
      </c>
      <c r="H1" s="36" t="str">
        <v>Generat per HorariaPro</v>
      </c>
    </row>
    <row r="2" ht="22" customHeight="1">
      <c r="A2" s="6" t="str">
        <v>Curs 2025–2026 · Juny 2026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6" customHeight="1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 ht="24" customHeight="1">
      <c r="A4" s="37" t="str">
        <v>Juny 2026  ·  6 abs. · 5 cob. · 5 docents afectats</v>
      </c>
      <c r="B4" s="37" t="str">
        <v/>
      </c>
      <c r="C4" s="37" t="str">
        <v/>
      </c>
      <c r="D4" s="37" t="str">
        <v/>
      </c>
      <c r="E4" s="37" t="str">
        <v/>
      </c>
      <c r="F4" s="37" t="str">
        <v/>
      </c>
      <c r="G4" s="37" t="str">
        <v/>
      </c>
      <c r="H4" s="37" t="str">
        <v/>
      </c>
    </row>
    <row r="5" ht="6" customHeight="1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8" t="str">
        <v>▸ ABSÈNCIES</v>
      </c>
      <c r="B6" s="38" t="str">
        <v/>
      </c>
      <c r="C6" s="38" t="str">
        <v/>
      </c>
      <c r="D6" s="38" t="str">
        <v/>
      </c>
      <c r="E6" s="38" t="str">
        <v/>
      </c>
      <c r="F6" s="38" t="str">
        <v/>
      </c>
      <c r="G6" s="38" t="str">
        <v/>
      </c>
      <c r="H6" s="38" t="str">
        <v/>
      </c>
    </row>
    <row r="7">
      <c r="A7" s="39" t="str">
        <v>Data</v>
      </c>
      <c r="B7" s="39" t="str">
        <v>Dia</v>
      </c>
      <c r="C7" s="39" t="str">
        <v>Docent</v>
      </c>
      <c r="D7" s="39" t="str">
        <v>Motiu</v>
      </c>
      <c r="E7" s="39" t="str">
        <v>Franges</v>
      </c>
      <c r="F7" s="39" t="str">
        <v>Estat</v>
      </c>
      <c r="G7" s="39" t="str">
        <v>Cobert per</v>
      </c>
      <c r="H7" s="39" t="str">
        <v>Núm. cob.</v>
      </c>
    </row>
    <row r="8">
      <c r="A8" s="33" t="str">
        <v>2026-06-19</v>
      </c>
      <c r="B8" s="33" t="str">
        <v>Divendres</v>
      </c>
      <c r="C8" s="33" t="str">
        <v>Anna Puig</v>
      </c>
      <c r="D8" s="33" t="str">
        <v>Test Horaria — verificació UI resolts</v>
      </c>
      <c r="E8" s="33" t="str">
        <v>f1a, f1b</v>
      </c>
      <c r="F8" s="33" t="str">
        <v>Arxivat</v>
      </c>
      <c r="G8" s="33" t="str">
        <v/>
      </c>
      <c r="H8" s="33">
        <v>0</v>
      </c>
    </row>
    <row r="9">
      <c r="A9" s="34" t="str">
        <v>2026-06-19</v>
      </c>
      <c r="B9" s="34" t="str">
        <v>Divendres</v>
      </c>
      <c r="C9" s="34" t="str">
        <v>Anna Puig</v>
      </c>
      <c r="D9" s="34" t="str">
        <v>Test Horaria — verificació UI resolts</v>
      </c>
      <c r="E9" s="34" t="str">
        <v>f1a, f1b</v>
      </c>
      <c r="F9" s="34" t="str">
        <v>Arxivat</v>
      </c>
      <c r="G9" s="34" t="str">
        <v/>
      </c>
      <c r="H9" s="34">
        <v>0</v>
      </c>
    </row>
    <row r="10">
      <c r="A10" s="33" t="str">
        <v>2026-06-24</v>
      </c>
      <c r="B10" s="33" t="str">
        <v>Dimecres</v>
      </c>
      <c r="C10" s="33" t="str">
        <v>Elisabet Roca</v>
      </c>
      <c r="D10" s="33" t="str">
        <v>Malaltia</v>
      </c>
      <c r="E10" s="33" t="str">
        <f>f1b</f>
        <v>f1a</v>
      </c>
      <c r="F10" s="33" t="str">
        <v>Arxivat</v>
      </c>
      <c r="G10" s="33" t="str">
        <v/>
      </c>
      <c r="H10" s="33">
        <v>0</v>
      </c>
    </row>
    <row r="11">
      <c r="A11" s="34" t="str">
        <v>2026-06-24</v>
      </c>
      <c r="B11" s="34" t="str">
        <v>Dimecres</v>
      </c>
      <c r="C11" s="34" t="str">
        <v>Pau Esteve</v>
      </c>
      <c r="D11" s="34" t="str">
        <v>Visita mèdica / Especialista</v>
      </c>
      <c r="E11" s="34" t="str">
        <f>f5b</f>
        <v>f5a</v>
      </c>
      <c r="F11" s="34" t="str">
        <v>Arxivat</v>
      </c>
      <c r="G11" s="34" t="str">
        <v/>
      </c>
      <c r="H11" s="34">
        <v>0</v>
      </c>
    </row>
    <row r="12">
      <c r="A12" s="33" t="str">
        <v>2026-06-24</v>
      </c>
      <c r="B12" s="33" t="str">
        <v>Dimecres</v>
      </c>
      <c r="C12" s="33" t="str">
        <v>Jordi Bosch</v>
      </c>
      <c r="D12" s="33" t="str">
        <v>Malaltia</v>
      </c>
      <c r="E12" s="33" t="str">
        <f>f1b</f>
        <v>f1a</v>
      </c>
      <c r="F12" s="33" t="str">
        <v>Arxivat</v>
      </c>
      <c r="G12" s="33" t="str">
        <v>Leyre Martin</v>
      </c>
      <c r="H12" s="33">
        <v>3</v>
      </c>
    </row>
    <row r="13">
      <c r="A13" s="34" t="str">
        <v>2026-06-24</v>
      </c>
      <c r="B13" s="34" t="str">
        <v>Dimecres</v>
      </c>
      <c r="C13" s="34" t="str">
        <v>Sara Prat</v>
      </c>
      <c r="D13" s="34" t="str">
        <v>Visita mèdica / Especialista</v>
      </c>
      <c r="E13" s="34" t="str">
        <f>f3b</f>
        <v>f3a</v>
      </c>
      <c r="F13" s="34" t="str">
        <v>Arxivat</v>
      </c>
      <c r="G13" s="34" t="str">
        <v>Isa Roca</v>
      </c>
      <c r="H13" s="34">
        <v>2</v>
      </c>
    </row>
    <row r="14">
      <c r="A14" s="33" t="str">
        <v/>
      </c>
      <c r="B14" s="33" t="str">
        <v/>
      </c>
      <c r="C14" s="33" t="str">
        <v/>
      </c>
      <c r="D14" s="33" t="str">
        <v/>
      </c>
      <c r="E14" s="33" t="str">
        <v/>
      </c>
      <c r="F14" s="33" t="str">
        <v/>
      </c>
      <c r="G14" s="33" t="str">
        <v/>
      </c>
      <c r="H14" s="33" t="str">
        <v/>
      </c>
    </row>
    <row r="15">
      <c r="A15" s="40" t="str">
        <v>▸ COBERTURES</v>
      </c>
      <c r="B15" s="40" t="str">
        <v/>
      </c>
      <c r="C15" s="40" t="str">
        <v/>
      </c>
      <c r="D15" s="40" t="str">
        <v/>
      </c>
      <c r="E15" s="40" t="str">
        <v/>
      </c>
      <c r="F15" s="40" t="str">
        <v/>
      </c>
      <c r="G15" s="40" t="str">
        <v/>
      </c>
      <c r="H15" s="40" t="str">
        <v/>
      </c>
    </row>
    <row r="16">
      <c r="A16" s="41" t="str">
        <v>Data</v>
      </c>
      <c r="B16" s="41" t="str">
        <v>Dia</v>
      </c>
      <c r="C16" s="41" t="str">
        <v>Docent cobrint</v>
      </c>
      <c r="D16" s="41" t="str">
        <v>Docent absent</v>
      </c>
      <c r="E16" s="41" t="str">
        <v>Franja</v>
      </c>
      <c r="F16" s="41" t="str">
        <v>Grup</v>
      </c>
      <c r="G16" s="41" t="str">
        <v>TP afectat</v>
      </c>
      <c r="H16" s="41" t="str">
        <v/>
      </c>
    </row>
    <row r="17">
      <c r="A17" s="34" t="str">
        <v>2026-06-24</v>
      </c>
      <c r="B17" s="34" t="str">
        <v>Dimecres</v>
      </c>
      <c r="C17" s="34" t="str">
        <v>Leyre Martin</v>
      </c>
      <c r="D17" s="34" t="str">
        <v>Jordi Bosch</v>
      </c>
      <c r="E17" s="34" t="str">
        <v>f2a</v>
      </c>
      <c r="F17" s="34" t="str">
        <v>2nB</v>
      </c>
      <c r="G17" s="34" t="str">
        <v>No</v>
      </c>
      <c r="H17" s="34" t="str">
        <v/>
      </c>
    </row>
    <row r="18">
      <c r="A18" s="33" t="str">
        <v>2026-06-24</v>
      </c>
      <c r="B18" s="33" t="str">
        <v>Dimecres</v>
      </c>
      <c r="C18" s="33" t="str">
        <v>Leyre Martin</v>
      </c>
      <c r="D18" s="33" t="str">
        <v>Jordi Bosch</v>
      </c>
      <c r="E18" s="33" t="str">
        <v>f1a</v>
      </c>
      <c r="F18" s="33" t="str">
        <v>2nB</v>
      </c>
      <c r="G18" s="33" t="str">
        <v>No</v>
      </c>
      <c r="H18" s="33" t="str">
        <v/>
      </c>
    </row>
    <row r="19">
      <c r="A19" s="34" t="str">
        <v>2026-06-24</v>
      </c>
      <c r="B19" s="34" t="str">
        <v>Dimecres</v>
      </c>
      <c r="C19" s="34" t="str">
        <v>Leyre Martin</v>
      </c>
      <c r="D19" s="34" t="str">
        <v>Jordi Bosch</v>
      </c>
      <c r="E19" s="34" t="str">
        <v>f1b</v>
      </c>
      <c r="F19" s="34" t="str">
        <v>2nB</v>
      </c>
      <c r="G19" s="34" t="str">
        <v>No</v>
      </c>
      <c r="H19" s="34" t="str">
        <v/>
      </c>
    </row>
    <row r="20">
      <c r="A20" s="33" t="str">
        <v>2026-06-24</v>
      </c>
      <c r="B20" s="33" t="str">
        <v>Dimecres</v>
      </c>
      <c r="C20" s="33" t="str">
        <v>Isa Roca</v>
      </c>
      <c r="D20" s="33" t="str">
        <v>Sara Prat</v>
      </c>
      <c r="E20" s="33" t="str">
        <v>f3b</v>
      </c>
      <c r="F20" s="33" t="str">
        <v>5eA</v>
      </c>
      <c r="G20" s="33" t="str">
        <v>No</v>
      </c>
      <c r="H20" s="33" t="str">
        <v/>
      </c>
    </row>
    <row r="21">
      <c r="A21" s="34" t="str">
        <v>2026-06-24</v>
      </c>
      <c r="B21" s="34" t="str">
        <v>Dimecres</v>
      </c>
      <c r="C21" s="34" t="str">
        <v>Isa Roca</v>
      </c>
      <c r="D21" s="34" t="str">
        <v>Sara Prat</v>
      </c>
      <c r="E21" s="34" t="str">
        <v>f3a</v>
      </c>
      <c r="F21" s="34" t="str">
        <v>5eA</v>
      </c>
      <c r="G21" s="34" t="str">
        <v>No</v>
      </c>
      <c r="H21" s="34" t="str">
        <v/>
      </c>
    </row>
  </sheetData>
  <mergeCells count="3">
    <mergeCell ref="A1:H1"/>
    <mergeCell ref="A2:H2"/>
    <mergeCell ref="A4:H4"/>
  </mergeCells>
  <ignoredErrors>
    <ignoredError numberStoredAsText="1" sqref="A1:H2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40.83203125" customWidth="1"/>
    <col min="2" max="2" width="11.83203125" customWidth="1"/>
    <col min="3" max="3" width="16.83203125" customWidth="1"/>
    <col min="4" max="4" width="15.83203125" customWidth="1"/>
    <col min="5" max="5" width="15.83203125" customWidth="1"/>
    <col min="6" max="6" width="10.83203125" customWidth="1"/>
    <col min="7" max="7" width="22.83203125" customWidth="1"/>
    <col min="8" max="8" width="24.83203125" customWidth="1"/>
  </cols>
  <sheetData>
    <row r="1" ht="44" customHeight="1">
      <c r="A1" s="36" t="str">
        <v>Escola Demo - HorariaPro</v>
      </c>
      <c r="B1" s="36" t="str">
        <v/>
      </c>
      <c r="C1" s="36" t="str">
        <v/>
      </c>
      <c r="D1" s="36" t="str">
        <v/>
      </c>
      <c r="E1" s="36" t="str">
        <v/>
      </c>
      <c r="F1" s="36" t="str">
        <v/>
      </c>
      <c r="G1" s="36" t="str">
        <v/>
      </c>
      <c r="H1" s="36" t="str">
        <v>Generat per HorariaPro</v>
      </c>
    </row>
    <row r="2" ht="22" customHeight="1">
      <c r="A2" s="6" t="str">
        <v>Curs 2025–2026 · Juliol 2026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6" customHeight="1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 ht="24" customHeight="1">
      <c r="A4" s="37" t="str">
        <v>Juliol 2026  ·  1 abs. · 3 cob. · 1 docents afectats</v>
      </c>
      <c r="B4" s="37" t="str">
        <v/>
      </c>
      <c r="C4" s="37" t="str">
        <v/>
      </c>
      <c r="D4" s="37" t="str">
        <v/>
      </c>
      <c r="E4" s="37" t="str">
        <v/>
      </c>
      <c r="F4" s="37" t="str">
        <v/>
      </c>
      <c r="G4" s="37" t="str">
        <v/>
      </c>
      <c r="H4" s="37" t="str">
        <v/>
      </c>
    </row>
    <row r="5" ht="6" customHeight="1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8" t="str">
        <v>▸ ABSÈNCIES</v>
      </c>
      <c r="B6" s="38" t="str">
        <v/>
      </c>
      <c r="C6" s="38" t="str">
        <v/>
      </c>
      <c r="D6" s="38" t="str">
        <v/>
      </c>
      <c r="E6" s="38" t="str">
        <v/>
      </c>
      <c r="F6" s="38" t="str">
        <v/>
      </c>
      <c r="G6" s="38" t="str">
        <v/>
      </c>
      <c r="H6" s="38" t="str">
        <v/>
      </c>
    </row>
    <row r="7">
      <c r="A7" s="39" t="str">
        <v>Data</v>
      </c>
      <c r="B7" s="39" t="str">
        <v>Dia</v>
      </c>
      <c r="C7" s="39" t="str">
        <v>Docent</v>
      </c>
      <c r="D7" s="39" t="str">
        <v>Motiu</v>
      </c>
      <c r="E7" s="39" t="str">
        <v>Franges</v>
      </c>
      <c r="F7" s="39" t="str">
        <v>Estat</v>
      </c>
      <c r="G7" s="39" t="str">
        <v>Cobert per</v>
      </c>
      <c r="H7" s="39" t="str">
        <v>Núm. cob.</v>
      </c>
    </row>
    <row r="8">
      <c r="A8" s="33" t="str">
        <v>2026-07-31</v>
      </c>
      <c r="B8" s="33" t="str">
        <v>Divendres</v>
      </c>
      <c r="C8" s="33" t="str">
        <v>Anna Puig</v>
      </c>
      <c r="D8" s="33" t="str">
        <v>Malaltia</v>
      </c>
      <c r="E8" s="33" t="str">
        <v>f1a, f1b, f2a</v>
      </c>
      <c r="F8" s="33" t="str">
        <v>Arxivat</v>
      </c>
      <c r="G8" s="33" t="str">
        <v>Laia Ros; Gemma Tort</v>
      </c>
      <c r="H8" s="33">
        <v>3</v>
      </c>
    </row>
    <row r="9">
      <c r="A9" s="34" t="str">
        <v/>
      </c>
      <c r="B9" s="34" t="str">
        <v/>
      </c>
      <c r="C9" s="34" t="str">
        <v/>
      </c>
      <c r="D9" s="34" t="str">
        <v/>
      </c>
      <c r="E9" s="34" t="str">
        <v/>
      </c>
      <c r="F9" s="34" t="str">
        <v/>
      </c>
      <c r="G9" s="34" t="str">
        <v/>
      </c>
      <c r="H9" s="34" t="str">
        <v/>
      </c>
    </row>
    <row r="10">
      <c r="A10" s="40" t="str">
        <v>▸ COBERTURES</v>
      </c>
      <c r="B10" s="40" t="str">
        <v/>
      </c>
      <c r="C10" s="40" t="str">
        <v/>
      </c>
      <c r="D10" s="40" t="str">
        <v/>
      </c>
      <c r="E10" s="40" t="str">
        <v/>
      </c>
      <c r="F10" s="40" t="str">
        <v/>
      </c>
      <c r="G10" s="40" t="str">
        <v/>
      </c>
      <c r="H10" s="40" t="str">
        <v/>
      </c>
    </row>
    <row r="11">
      <c r="A11" s="41" t="str">
        <v>Data</v>
      </c>
      <c r="B11" s="41" t="str">
        <v>Dia</v>
      </c>
      <c r="C11" s="41" t="str">
        <v>Docent cobrint</v>
      </c>
      <c r="D11" s="41" t="str">
        <v>Docent absent</v>
      </c>
      <c r="E11" s="41" t="str">
        <v>Franja</v>
      </c>
      <c r="F11" s="41" t="str">
        <v>Grup</v>
      </c>
      <c r="G11" s="41" t="str">
        <v>TP afectat</v>
      </c>
      <c r="H11" s="41" t="str">
        <v/>
      </c>
    </row>
    <row r="12">
      <c r="A12" s="33" t="str">
        <v>2026-07-31</v>
      </c>
      <c r="B12" s="33" t="str">
        <v>Divendres</v>
      </c>
      <c r="C12" s="33" t="str">
        <v>Laia Ros</v>
      </c>
      <c r="D12" s="33" t="str">
        <v>Anna Puig</v>
      </c>
      <c r="E12" s="33" t="str">
        <v>f1b</v>
      </c>
      <c r="F12" s="33" t="str">
        <v>1rA</v>
      </c>
      <c r="G12" s="33" t="str">
        <v>Sí</v>
      </c>
      <c r="H12" s="33" t="str">
        <v/>
      </c>
    </row>
    <row r="13">
      <c r="A13" s="34" t="str">
        <v>2026-07-31</v>
      </c>
      <c r="B13" s="34" t="str">
        <v>Divendres</v>
      </c>
      <c r="C13" s="34" t="str">
        <v>Laia Ros</v>
      </c>
      <c r="D13" s="34" t="str">
        <v>Anna Puig</v>
      </c>
      <c r="E13" s="34" t="str">
        <v>f2a</v>
      </c>
      <c r="F13" s="34" t="str">
        <v>1rA</v>
      </c>
      <c r="G13" s="34" t="str">
        <v>Sí</v>
      </c>
      <c r="H13" s="34" t="str">
        <v/>
      </c>
    </row>
    <row r="14">
      <c r="A14" s="33" t="str">
        <v>2026-07-31</v>
      </c>
      <c r="B14" s="33" t="str">
        <v>Divendres</v>
      </c>
      <c r="C14" s="33" t="str">
        <v>Gemma Tort</v>
      </c>
      <c r="D14" s="33" t="str">
        <v>Anna Puig</v>
      </c>
      <c r="E14" s="33" t="str">
        <v>f1a</v>
      </c>
      <c r="F14" s="33" t="str">
        <v>3rA</v>
      </c>
      <c r="G14" s="33" t="str">
        <v>No</v>
      </c>
      <c r="H14" s="33" t="str">
        <v/>
      </c>
    </row>
  </sheetData>
  <mergeCells count="3">
    <mergeCell ref="A1:H1"/>
    <mergeCell ref="A2:H2"/>
    <mergeCell ref="A4:H4"/>
  </mergeCells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Gràfiques</vt:lpstr>
      <vt:lpstr>Resum per docent</vt:lpstr>
      <vt:lpstr>Absències</vt:lpstr>
      <vt:lpstr>Cobertures</vt:lpstr>
      <vt:lpstr>Oct 2025</vt:lpstr>
      <vt:lpstr>Nov 2025</vt:lpstr>
      <vt:lpstr>Des 2025</vt:lpstr>
      <vt:lpstr>Gen 2026</vt:lpstr>
      <vt:lpstr>Feb 2026</vt:lpstr>
      <vt:lpstr>Mar 2026</vt:lpstr>
      <vt:lpstr>Abr 2026</vt:lpstr>
      <vt:lpstr>Mai 2026</vt:lpstr>
      <vt:lpstr>Jun 2026</vt:lpstr>
      <vt:lpstr>Jul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